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412ACDC7-2B32-4021-AD35-8E1737831D51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Справочник_Каталог" sheetId="11" r:id="rId1"/>
    <sheet name="Продажи_исходные" sheetId="12" r:id="rId2"/>
    <sheet name="ВПР_результат" sheetId="10" r:id="rId3"/>
    <sheet name="Анализ_СУММЕСЛИ" sheetId="8" r:id="rId4"/>
    <sheet name="Очистка_данных" sheetId="9" r:id="rId5"/>
    <sheet name="Статистика" sheetId="4" r:id="rId6"/>
    <sheet name="Сводная_таблица" sheetId="13" r:id="rId7"/>
  </sheets>
  <definedNames>
    <definedName name="Срез_Товарная_группа1">#N/A</definedName>
  </definedNames>
  <calcPr calcId="191028"/>
  <pivotCaches>
    <pivotCache cacheId="11" r:id="rId8"/>
    <pivotCache cacheId="12" r:id="rId9"/>
    <pivotCache cacheId="13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4" l="1"/>
  <c r="C38" i="4"/>
  <c r="C36" i="4"/>
  <c r="C35" i="4"/>
  <c r="C34" i="4"/>
  <c r="C33" i="4"/>
  <c r="C32" i="4"/>
  <c r="C31" i="4"/>
  <c r="C30" i="4"/>
  <c r="C29" i="4"/>
  <c r="C28" i="4"/>
  <c r="C27" i="4"/>
  <c r="B3" i="4"/>
  <c r="B28" i="4"/>
  <c r="B29" i="4"/>
  <c r="B30" i="4"/>
  <c r="B31" i="4"/>
  <c r="B32" i="4"/>
  <c r="B33" i="4"/>
  <c r="B34" i="4"/>
  <c r="B35" i="4"/>
  <c r="B36" i="4"/>
  <c r="B37" i="4"/>
  <c r="B38" i="4"/>
  <c r="B27" i="4"/>
  <c r="A28" i="4"/>
  <c r="A29" i="4"/>
  <c r="A30" i="4"/>
  <c r="A31" i="4"/>
  <c r="A32" i="4"/>
  <c r="A33" i="4"/>
  <c r="A34" i="4"/>
  <c r="A35" i="4"/>
  <c r="A36" i="4"/>
  <c r="A37" i="4"/>
  <c r="A38" i="4"/>
  <c r="A27" i="4"/>
  <c r="D2" i="13"/>
  <c r="C2" i="13"/>
  <c r="B2" i="13"/>
  <c r="A2" i="13"/>
  <c r="H5" i="10"/>
  <c r="H4" i="10"/>
  <c r="H3" i="10"/>
  <c r="H2" i="10"/>
  <c r="H66" i="8"/>
  <c r="A2" i="10"/>
  <c r="A3" i="10"/>
  <c r="A4" i="10"/>
  <c r="A5" i="10"/>
  <c r="A6" i="10"/>
  <c r="A7" i="10"/>
  <c r="A8" i="10"/>
  <c r="A9" i="10"/>
  <c r="A10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C2" i="10"/>
  <c r="C32" i="8"/>
  <c r="E17" i="8"/>
  <c r="F17" i="8" s="1"/>
  <c r="C38" i="8"/>
  <c r="E46" i="8"/>
  <c r="F46" i="8" s="1"/>
  <c r="C53" i="8"/>
  <c r="E5" i="8"/>
  <c r="F5" i="8" s="1"/>
  <c r="C8" i="8"/>
  <c r="E6" i="8"/>
  <c r="F6" i="8" s="1"/>
  <c r="C14" i="8"/>
  <c r="E20" i="8"/>
  <c r="F20" i="8" s="1"/>
  <c r="C48" i="8"/>
  <c r="E38" i="8"/>
  <c r="F38" i="8" s="1"/>
  <c r="C41" i="8"/>
  <c r="E26" i="8"/>
  <c r="F26" i="8" s="1"/>
  <c r="C27" i="8"/>
  <c r="E47" i="8"/>
  <c r="F47" i="8" s="1"/>
  <c r="C6" i="8"/>
  <c r="E53" i="8"/>
  <c r="F53" i="8" s="1"/>
  <c r="C9" i="8"/>
  <c r="E54" i="8"/>
  <c r="F54" i="8" s="1"/>
  <c r="C46" i="8"/>
  <c r="E2" i="8"/>
  <c r="C7" i="8"/>
  <c r="E55" i="8"/>
  <c r="F55" i="8" s="1"/>
  <c r="C39" i="8"/>
  <c r="E23" i="8"/>
  <c r="F23" i="8" s="1"/>
  <c r="C60" i="8"/>
  <c r="E27" i="8"/>
  <c r="F27" i="8" s="1"/>
  <c r="C47" i="8"/>
  <c r="E32" i="8"/>
  <c r="F32" i="8" s="1"/>
  <c r="C54" i="8"/>
  <c r="E7" i="8"/>
  <c r="F7" i="8" s="1"/>
  <c r="C33" i="8"/>
  <c r="E48" i="8"/>
  <c r="F48" i="8" s="1"/>
  <c r="C20" i="8"/>
  <c r="E60" i="8"/>
  <c r="F60" i="8" s="1"/>
  <c r="C55" i="8"/>
  <c r="E61" i="8"/>
  <c r="F61" i="8" s="1"/>
  <c r="C17" i="8"/>
  <c r="E8" i="8"/>
  <c r="F8" i="8" s="1"/>
  <c r="C23" i="8"/>
  <c r="E14" i="8"/>
  <c r="F14" i="8" s="1"/>
  <c r="C2" i="8"/>
  <c r="E39" i="8"/>
  <c r="F39" i="8" s="1"/>
  <c r="C26" i="8"/>
  <c r="E40" i="8"/>
  <c r="F40" i="8" s="1"/>
  <c r="C40" i="8"/>
  <c r="E33" i="8"/>
  <c r="F33" i="8" s="1"/>
  <c r="C61" i="8"/>
  <c r="E41" i="8"/>
  <c r="F41" i="8" s="1"/>
  <c r="C5" i="8"/>
  <c r="E9" i="8"/>
  <c r="F9" i="8" s="1"/>
  <c r="A9" i="8"/>
  <c r="A41" i="8"/>
  <c r="A33" i="8"/>
  <c r="A40" i="8"/>
  <c r="A39" i="8"/>
  <c r="A14" i="8"/>
  <c r="A8" i="8"/>
  <c r="A61" i="8"/>
  <c r="A60" i="8"/>
  <c r="A48" i="8"/>
  <c r="A7" i="8"/>
  <c r="A32" i="8"/>
  <c r="A27" i="8"/>
  <c r="A23" i="8"/>
  <c r="A55" i="8"/>
  <c r="A2" i="8"/>
  <c r="A54" i="8"/>
  <c r="A53" i="8"/>
  <c r="A47" i="8"/>
  <c r="A26" i="8"/>
  <c r="A38" i="8"/>
  <c r="A20" i="8"/>
  <c r="A6" i="8"/>
  <c r="A5" i="8"/>
  <c r="A46" i="8"/>
  <c r="A17" i="8"/>
  <c r="E3" i="10"/>
  <c r="E4" i="10"/>
  <c r="E5" i="10"/>
  <c r="E6" i="10"/>
  <c r="E7" i="10"/>
  <c r="E8" i="10"/>
  <c r="E9" i="10"/>
  <c r="E10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" i="10"/>
  <c r="C9" i="10"/>
  <c r="C20" i="10"/>
  <c r="C3" i="10"/>
  <c r="C4" i="10"/>
  <c r="C10" i="10"/>
  <c r="C16" i="10"/>
  <c r="C12" i="10"/>
  <c r="C21" i="10"/>
  <c r="C23" i="10"/>
  <c r="C24" i="10"/>
  <c r="C25" i="10"/>
  <c r="C13" i="10"/>
  <c r="C14" i="10"/>
  <c r="C5" i="10"/>
  <c r="C22" i="10"/>
  <c r="C26" i="10"/>
  <c r="C27" i="10"/>
  <c r="C6" i="10"/>
  <c r="C8" i="10"/>
  <c r="C17" i="10"/>
  <c r="C18" i="10"/>
  <c r="C15" i="10"/>
  <c r="C19" i="10"/>
  <c r="C7" i="10"/>
  <c r="H67" i="8" l="1"/>
  <c r="B7" i="4" s="1"/>
  <c r="F2" i="8"/>
  <c r="H3" i="8" s="1"/>
  <c r="H64" i="8"/>
  <c r="H58" i="8"/>
  <c r="H51" i="8"/>
  <c r="H44" i="8"/>
  <c r="H36" i="8"/>
  <c r="H30" i="8"/>
  <c r="H12" i="8"/>
  <c r="H63" i="8"/>
  <c r="H57" i="8"/>
  <c r="H50" i="8"/>
  <c r="H43" i="8"/>
  <c r="H35" i="8"/>
  <c r="H29" i="8"/>
  <c r="H11" i="8"/>
  <c r="H62" i="8"/>
  <c r="H56" i="8"/>
  <c r="H49" i="8"/>
  <c r="H42" i="8"/>
  <c r="H34" i="8"/>
  <c r="H28" i="8"/>
  <c r="H24" i="8"/>
  <c r="H21" i="8"/>
  <c r="H18" i="8"/>
  <c r="H15" i="8"/>
  <c r="H10" i="8"/>
  <c r="B6" i="4" l="1"/>
  <c r="B5" i="4"/>
  <c r="B4" i="4"/>
  <c r="K20" i="4"/>
  <c r="J20" i="4" s="1"/>
  <c r="K21" i="4"/>
  <c r="J21" i="4" s="1"/>
  <c r="K22" i="4"/>
  <c r="J22" i="4" s="1"/>
  <c r="K19" i="4"/>
  <c r="J19" i="4" s="1"/>
  <c r="G19" i="4"/>
  <c r="F19" i="4" s="1"/>
  <c r="K18" i="4"/>
  <c r="G18" i="4"/>
  <c r="F18" i="4" l="1"/>
  <c r="K23" i="4"/>
  <c r="J18" i="4"/>
  <c r="G20" i="4"/>
  <c r="G21" i="4"/>
  <c r="F21" i="4" s="1"/>
  <c r="G22" i="4"/>
  <c r="F22" i="4" s="1"/>
  <c r="A23" i="4"/>
  <c r="E11" i="10"/>
  <c r="C11" i="10"/>
  <c r="A11" i="10"/>
  <c r="C11" i="4" l="1"/>
  <c r="B2" i="4"/>
  <c r="C14" i="4"/>
  <c r="C12" i="4"/>
  <c r="C15" i="4"/>
  <c r="C16" i="4"/>
  <c r="C18" i="4"/>
  <c r="C19" i="4"/>
  <c r="C20" i="4"/>
  <c r="C21" i="4"/>
  <c r="C22" i="4"/>
  <c r="F20" i="4"/>
  <c r="G23" i="4"/>
  <c r="G24" i="4" s="1"/>
  <c r="K24" i="4"/>
  <c r="C13" i="4" l="1"/>
  <c r="C17" i="4"/>
</calcChain>
</file>

<file path=xl/sharedStrings.xml><?xml version="1.0" encoding="utf-8"?>
<sst xmlns="http://schemas.openxmlformats.org/spreadsheetml/2006/main" count="302" uniqueCount="122">
  <si>
    <t>Наименование</t>
  </si>
  <si>
    <t>Товарная группа</t>
  </si>
  <si>
    <t>Цена</t>
  </si>
  <si>
    <t>Артикул</t>
  </si>
  <si>
    <t>Кресло «Райское наслаждение»</t>
  </si>
  <si>
    <t>Кресла</t>
  </si>
  <si>
    <t>VN17-40</t>
  </si>
  <si>
    <t>Покрывало «Прованс»</t>
  </si>
  <si>
    <t>Текстиль</t>
  </si>
  <si>
    <t>HN47-96</t>
  </si>
  <si>
    <t>Кухонный гарнитур «Прованс»</t>
  </si>
  <si>
    <t>Кухня</t>
  </si>
  <si>
    <t>DN45-68</t>
  </si>
  <si>
    <t>Обеденный стол «Трапеза»</t>
  </si>
  <si>
    <t>Столы</t>
  </si>
  <si>
    <t>BE65-00</t>
  </si>
  <si>
    <t>Угловой диван-кровать «Эвита»</t>
  </si>
  <si>
    <t>Диваны</t>
  </si>
  <si>
    <t>DF45-08</t>
  </si>
  <si>
    <t>Журнальный столик «Таурус»</t>
  </si>
  <si>
    <t>BY65-24</t>
  </si>
  <si>
    <t>Письменный стол «Тандем»</t>
  </si>
  <si>
    <t>WE25-48</t>
  </si>
  <si>
    <t>Стеллаж «Канкун»</t>
  </si>
  <si>
    <t>Стеллажи</t>
  </si>
  <si>
    <t>MN56-32</t>
  </si>
  <si>
    <t>Тумба деревянная «Альба»</t>
  </si>
  <si>
    <t>KE35-92</t>
  </si>
  <si>
    <t>Подсвечник декоративный</t>
  </si>
  <si>
    <t>Декор</t>
  </si>
  <si>
    <t>VO65-25</t>
  </si>
  <si>
    <t>Комод «Бостон»</t>
  </si>
  <si>
    <t>Шкафы и комоды</t>
  </si>
  <si>
    <t>RT65-07</t>
  </si>
  <si>
    <t>Занавески «Морская волна»</t>
  </si>
  <si>
    <t>MI56-74</t>
  </si>
  <si>
    <t>Кронштейн однорядный</t>
  </si>
  <si>
    <t>Фурнитура</t>
  </si>
  <si>
    <t>VU50-74</t>
  </si>
  <si>
    <t xml:space="preserve">Карниз металлический </t>
  </si>
  <si>
    <t>FY33-47</t>
  </si>
  <si>
    <t>Набор подушек декоративных</t>
  </si>
  <si>
    <t>VR75-03</t>
  </si>
  <si>
    <t>Массажный коврик</t>
  </si>
  <si>
    <t>OP87-04</t>
  </si>
  <si>
    <t>Постельное белье «Морская гладь»</t>
  </si>
  <si>
    <t>EP65-84</t>
  </si>
  <si>
    <t>Шкаф-купе «Альберто»</t>
  </si>
  <si>
    <t>NF49-06</t>
  </si>
  <si>
    <t>Этажерка 3-ярусная</t>
  </si>
  <si>
    <t>WM32-27</t>
  </si>
  <si>
    <t>Панно декоративное «Африка»</t>
  </si>
  <si>
    <t>DE86-95</t>
  </si>
  <si>
    <t>Душевая кабина «Эрлит»</t>
  </si>
  <si>
    <t>Ванны</t>
  </si>
  <si>
    <t>DP86-95</t>
  </si>
  <si>
    <t>Смеситель «Посейдон»</t>
  </si>
  <si>
    <t>KO35-95</t>
  </si>
  <si>
    <t>Навесная полка «Оливия»</t>
  </si>
  <si>
    <t>Мебель</t>
  </si>
  <si>
    <t>VT65-74</t>
  </si>
  <si>
    <t>Набор органайзеров 5шт.</t>
  </si>
  <si>
    <t>YT76-80</t>
  </si>
  <si>
    <t>Торшер «Альфредо»</t>
  </si>
  <si>
    <t>Свет</t>
  </si>
  <si>
    <t>WP25-38</t>
  </si>
  <si>
    <t>Бра «Тайный свет»</t>
  </si>
  <si>
    <t>FP86-07</t>
  </si>
  <si>
    <t>Количество</t>
  </si>
  <si>
    <t>Ценовой сегмент</t>
  </si>
  <si>
    <t>Кол-во товаров</t>
  </si>
  <si>
    <t>До 1 000 ₽</t>
  </si>
  <si>
    <t>1 000 - 10 000 ₽</t>
  </si>
  <si>
    <t>10 000 - 100 000 ₽</t>
  </si>
  <si>
    <t>Свыше 100 000 ₽</t>
  </si>
  <si>
    <t>Выручка</t>
  </si>
  <si>
    <t>Общая выручка</t>
  </si>
  <si>
    <t xml:space="preserve">Всего наименований в группе «Декор» </t>
  </si>
  <si>
    <t>Количество единиц по группе «Декор» (1,5-8 тыс. руб.)</t>
  </si>
  <si>
    <t xml:space="preserve">Всего наименований в группе «Свет» </t>
  </si>
  <si>
    <t>Количество единиц по группе «Свет» (1-5 тыс. руб.)</t>
  </si>
  <si>
    <t xml:space="preserve">Всего наименований в группе «Стеллажи» </t>
  </si>
  <si>
    <t>Количество единиц по группе «Стеллажи» (1-10 тыс. руб.)</t>
  </si>
  <si>
    <t xml:space="preserve">Всего наименований в группе «Столы» </t>
  </si>
  <si>
    <t>Количество единиц по группе «Столы» (3-11 тыс. руб.)</t>
  </si>
  <si>
    <t xml:space="preserve">Всего наименований в группе «Текстиль» </t>
  </si>
  <si>
    <t>Количество единиц по группе «Текстиль» (1-5 тыс. руб.)</t>
  </si>
  <si>
    <t xml:space="preserve">Всего наименований в группе «Фурнитура» </t>
  </si>
  <si>
    <t>Количество единиц по группе «Фурнитура» (90 руб.-5 тыс. руб.)</t>
  </si>
  <si>
    <t xml:space="preserve">Всего наименований в группе «Шкафы и комоды» </t>
  </si>
  <si>
    <t>Количество единиц по группе «Шкафы и комоды» (2-8 тыс. руб.)</t>
  </si>
  <si>
    <t>Общая выручка ИТОГ</t>
  </si>
  <si>
    <t>Всего продано, ед.</t>
  </si>
  <si>
    <t>Проверка качества данных:</t>
  </si>
  <si>
    <t>Дубликаты</t>
  </si>
  <si>
    <t>Не найдены</t>
  </si>
  <si>
    <t>Пустые ячейки</t>
  </si>
  <si>
    <t>Ошибки в формулах</t>
  </si>
  <si>
    <t>Формат данных</t>
  </si>
  <si>
    <t>Корректный</t>
  </si>
  <si>
    <t>ОБЩИЕ МЕТРИКИ</t>
  </si>
  <si>
    <t>Средний чек</t>
  </si>
  <si>
    <t>Медиана</t>
  </si>
  <si>
    <t>Максимальная продажа</t>
  </si>
  <si>
    <t>Минимальная продажа</t>
  </si>
  <si>
    <t>Общее кол-во единиц</t>
  </si>
  <si>
    <t>% от общей</t>
  </si>
  <si>
    <t>Максимум</t>
  </si>
  <si>
    <t>Минимум</t>
  </si>
  <si>
    <t>№</t>
  </si>
  <si>
    <t>Товар</t>
  </si>
  <si>
    <t>Всего выручка топ-5</t>
  </si>
  <si>
    <t xml:space="preserve">Доля в общей выручке </t>
  </si>
  <si>
    <t>Среднее</t>
  </si>
  <si>
    <t>Продано</t>
  </si>
  <si>
    <t>Топ-категория "Кухня" (% от общей)</t>
  </si>
  <si>
    <t>Сумма по полю Выручка</t>
  </si>
  <si>
    <t>Сумма по полю Количество</t>
  </si>
  <si>
    <t>Количество по полю Наименование</t>
  </si>
  <si>
    <t>(пусто)</t>
  </si>
  <si>
    <t>Общий итог</t>
  </si>
  <si>
    <t>Сумма по полю 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</si>
</sst>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₽&quot;;[Red]\-#,##0\ &quot;₽&quot;"/>
    <numFmt numFmtId="44" formatCode="_-* #,##0.00\ &quot;₽&quot;_-;\-* #,##0.00\ &quot;₽&quot;_-;_-* &quot;-&quot;??\ &quot;₽&quot;_-;_-@_-"/>
    <numFmt numFmtId="164" formatCode="#,##0\ &quot;₽&quot;"/>
    <numFmt numFmtId="165" formatCode="_-* #,##0\ &quot;₽&quot;_-;\-* #,##0\ &quot;₽&quot;_-;_-* &quot;-&quot;??\ &quot;₽&quot;_-;_-@_-"/>
    <numFmt numFmtId="166" formatCode="#,##0.00\ &quot;₽&quot;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Museo Sans Cyrl 300"/>
      <charset val="204"/>
    </font>
    <font>
      <sz val="11"/>
      <color theme="1"/>
      <name val="Museo sans cyrl 500"/>
    </font>
    <font>
      <b/>
      <sz val="12"/>
      <color theme="1"/>
      <name val="Museo sans cyrl 500"/>
    </font>
    <font>
      <sz val="12"/>
      <color theme="1"/>
      <name val="Museo sans cyrl 500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Museo Sans Cyrl 300"/>
    </font>
    <font>
      <b/>
      <sz val="12"/>
      <color theme="1"/>
      <name val="Times New Roman"/>
    </font>
    <font>
      <sz val="11"/>
      <color theme="1"/>
      <name val="Times New Roman"/>
    </font>
    <font>
      <sz val="11"/>
      <color rgb="FF1D1D1F"/>
      <name val="Times New Roman"/>
    </font>
    <font>
      <b/>
      <sz val="11"/>
      <color rgb="FF1D1D1F"/>
      <name val="Times New Roman"/>
    </font>
    <font>
      <b/>
      <sz val="11"/>
      <color theme="1"/>
      <name val="Times New Roman"/>
    </font>
    <font>
      <sz val="11"/>
      <color rgb="FF242424"/>
      <name val="Times New Roman"/>
    </font>
    <font>
      <b/>
      <sz val="11"/>
      <color theme="1"/>
      <name val="Museo Sans Cyrl 500"/>
      <family val="3"/>
    </font>
    <font>
      <b/>
      <sz val="11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b/>
      <sz val="2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/>
    <xf numFmtId="0" fontId="0" fillId="0" borderId="0" xfId="0" applyBorder="1"/>
    <xf numFmtId="0" fontId="6" fillId="0" borderId="0" xfId="0" applyFont="1" applyBorder="1"/>
    <xf numFmtId="0" fontId="5" fillId="2" borderId="0" xfId="0" applyFont="1" applyFill="1" applyBorder="1"/>
    <xf numFmtId="49" fontId="5" fillId="0" borderId="0" xfId="0" applyNumberFormat="1" applyFont="1" applyBorder="1" applyAlignment="1">
      <alignment horizontal="center"/>
    </xf>
    <xf numFmtId="164" fontId="5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1" applyNumberFormat="1" applyFont="1"/>
    <xf numFmtId="165" fontId="2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3" fontId="10" fillId="0" borderId="0" xfId="0" applyNumberFormat="1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65" fontId="10" fillId="0" borderId="0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166" fontId="0" fillId="0" borderId="0" xfId="0" applyNumberFormat="1"/>
    <xf numFmtId="0" fontId="0" fillId="0" borderId="0" xfId="0" applyFont="1"/>
    <xf numFmtId="0" fontId="11" fillId="0" borderId="5" xfId="0" applyFont="1" applyFill="1" applyBorder="1"/>
    <xf numFmtId="0" fontId="11" fillId="0" borderId="2" xfId="0" applyFont="1" applyFill="1" applyBorder="1"/>
    <xf numFmtId="166" fontId="11" fillId="0" borderId="2" xfId="0" applyNumberFormat="1" applyFont="1" applyFill="1" applyBorder="1"/>
    <xf numFmtId="0" fontId="0" fillId="0" borderId="0" xfId="0" applyFont="1" applyBorder="1"/>
    <xf numFmtId="166" fontId="0" fillId="0" borderId="0" xfId="0" applyNumberFormat="1" applyFont="1" applyBorder="1"/>
    <xf numFmtId="166" fontId="0" fillId="0" borderId="0" xfId="0" applyNumberFormat="1" applyFont="1"/>
    <xf numFmtId="0" fontId="12" fillId="0" borderId="0" xfId="0" applyFont="1" applyFill="1" applyBorder="1"/>
    <xf numFmtId="0" fontId="11" fillId="0" borderId="0" xfId="0" applyFont="1" applyFill="1" applyBorder="1"/>
    <xf numFmtId="9" fontId="11" fillId="0" borderId="0" xfId="0" applyNumberFormat="1" applyFont="1" applyFill="1" applyBorder="1"/>
    <xf numFmtId="0" fontId="13" fillId="0" borderId="0" xfId="0" applyFont="1"/>
    <xf numFmtId="0" fontId="12" fillId="0" borderId="0" xfId="0" applyFont="1" applyFill="1" applyBorder="1" applyAlignment="1">
      <alignment horizontal="center" vertical="center"/>
    </xf>
    <xf numFmtId="164" fontId="10" fillId="0" borderId="0" xfId="0" applyNumberFormat="1" applyFont="1"/>
    <xf numFmtId="0" fontId="13" fillId="0" borderId="0" xfId="0" applyFont="1" applyBorder="1" applyAlignment="1">
      <alignment horizontal="center"/>
    </xf>
    <xf numFmtId="165" fontId="13" fillId="0" borderId="0" xfId="0" applyNumberFormat="1" applyFont="1" applyBorder="1" applyAlignment="1">
      <alignment horizontal="center"/>
    </xf>
    <xf numFmtId="44" fontId="10" fillId="0" borderId="0" xfId="0" applyNumberFormat="1" applyFont="1" applyBorder="1"/>
    <xf numFmtId="165" fontId="10" fillId="0" borderId="0" xfId="1" applyNumberFormat="1" applyFont="1" applyBorder="1"/>
    <xf numFmtId="0" fontId="10" fillId="0" borderId="1" xfId="0" applyFont="1" applyBorder="1"/>
    <xf numFmtId="44" fontId="10" fillId="0" borderId="1" xfId="1" applyFont="1" applyBorder="1"/>
    <xf numFmtId="44" fontId="10" fillId="0" borderId="0" xfId="1" applyFont="1"/>
    <xf numFmtId="0" fontId="10" fillId="0" borderId="0" xfId="0" applyFont="1" applyBorder="1" applyAlignment="1">
      <alignment wrapText="1"/>
    </xf>
    <xf numFmtId="0" fontId="10" fillId="0" borderId="1" xfId="0" applyFont="1" applyBorder="1" applyAlignment="1">
      <alignment wrapText="1"/>
    </xf>
    <xf numFmtId="165" fontId="10" fillId="0" borderId="0" xfId="0" applyNumberFormat="1" applyFont="1" applyBorder="1"/>
    <xf numFmtId="165" fontId="10" fillId="0" borderId="0" xfId="0" applyNumberFormat="1" applyFont="1"/>
    <xf numFmtId="44" fontId="10" fillId="0" borderId="0" xfId="0" applyNumberFormat="1" applyFont="1"/>
    <xf numFmtId="0" fontId="11" fillId="0" borderId="2" xfId="0" applyNumberFormat="1" applyFont="1" applyFill="1" applyBorder="1" applyAlignment="1">
      <alignment horizontal="right"/>
    </xf>
    <xf numFmtId="164" fontId="11" fillId="0" borderId="5" xfId="0" applyNumberFormat="1" applyFont="1" applyFill="1" applyBorder="1"/>
    <xf numFmtId="0" fontId="11" fillId="0" borderId="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4" fillId="0" borderId="6" xfId="0" applyNumberFormat="1" applyFont="1" applyBorder="1"/>
    <xf numFmtId="10" fontId="10" fillId="0" borderId="0" xfId="0" applyNumberFormat="1" applyFont="1"/>
    <xf numFmtId="10" fontId="10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10" fillId="0" borderId="0" xfId="0" applyNumberFormat="1" applyFont="1"/>
    <xf numFmtId="44" fontId="0" fillId="0" borderId="0" xfId="0" applyNumberFormat="1"/>
    <xf numFmtId="44" fontId="10" fillId="0" borderId="0" xfId="1" applyFont="1" applyBorder="1"/>
    <xf numFmtId="164" fontId="10" fillId="0" borderId="0" xfId="0" applyNumberFormat="1" applyFont="1" applyAlignment="1">
      <alignment horizontal="right"/>
    </xf>
    <xf numFmtId="164" fontId="11" fillId="0" borderId="0" xfId="0" applyNumberFormat="1" applyFont="1" applyFill="1" applyBorder="1" applyAlignment="1">
      <alignment horizontal="right"/>
    </xf>
    <xf numFmtId="0" fontId="10" fillId="3" borderId="2" xfId="0" applyFont="1" applyFill="1" applyBorder="1"/>
    <xf numFmtId="44" fontId="10" fillId="3" borderId="2" xfId="0" applyNumberFormat="1" applyFont="1" applyFill="1" applyBorder="1"/>
    <xf numFmtId="4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Fill="1"/>
    <xf numFmtId="0" fontId="10" fillId="0" borderId="0" xfId="0" applyFont="1" applyFill="1" applyBorder="1"/>
    <xf numFmtId="0" fontId="13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165" fontId="16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7" fillId="0" borderId="0" xfId="0" applyFont="1" applyBorder="1"/>
    <xf numFmtId="165" fontId="17" fillId="0" borderId="0" xfId="0" applyNumberFormat="1" applyFont="1" applyBorder="1" applyAlignment="1">
      <alignment horizontal="right"/>
    </xf>
    <xf numFmtId="1" fontId="17" fillId="0" borderId="0" xfId="0" applyNumberFormat="1" applyFont="1" applyBorder="1" applyAlignment="1">
      <alignment horizontal="center"/>
    </xf>
    <xf numFmtId="0" fontId="18" fillId="4" borderId="0" xfId="0" applyFont="1" applyFill="1" applyBorder="1"/>
    <xf numFmtId="0" fontId="18" fillId="5" borderId="0" xfId="0" applyFont="1" applyFill="1" applyBorder="1"/>
    <xf numFmtId="6" fontId="19" fillId="4" borderId="0" xfId="0" applyNumberFormat="1" applyFont="1" applyFill="1" applyBorder="1" applyAlignment="1">
      <alignment horizontal="left"/>
    </xf>
    <xf numFmtId="0" fontId="19" fillId="5" borderId="0" xfId="0" applyNumberFormat="1" applyFont="1" applyFill="1" applyBorder="1" applyAlignment="1">
      <alignment horizontal="left"/>
    </xf>
    <xf numFmtId="10" fontId="19" fillId="6" borderId="0" xfId="0" applyNumberFormat="1" applyFont="1" applyFill="1" applyBorder="1" applyAlignment="1">
      <alignment horizontal="left"/>
    </xf>
    <xf numFmtId="0" fontId="10" fillId="0" borderId="0" xfId="0" pivotButton="1" applyFont="1"/>
    <xf numFmtId="166" fontId="10" fillId="0" borderId="0" xfId="0" applyNumberFormat="1" applyFont="1"/>
    <xf numFmtId="164" fontId="0" fillId="0" borderId="0" xfId="0" applyNumberFormat="1"/>
    <xf numFmtId="0" fontId="18" fillId="6" borderId="0" xfId="0" applyFont="1" applyFill="1" applyBorder="1" applyAlignment="1">
      <alignment wrapText="1"/>
    </xf>
    <xf numFmtId="0" fontId="12" fillId="0" borderId="4" xfId="0" applyFont="1" applyFill="1" applyBorder="1" applyAlignment="1"/>
    <xf numFmtId="0" fontId="12" fillId="0" borderId="3" xfId="0" applyFont="1" applyFill="1" applyBorder="1" applyAlignment="1"/>
    <xf numFmtId="0" fontId="15" fillId="0" borderId="0" xfId="0" applyFont="1" applyAlignment="1">
      <alignment horizontal="center" wrapText="1"/>
    </xf>
  </cellXfs>
  <cellStyles count="2">
    <cellStyle name="Денежный" xfId="1" builtinId="4"/>
    <cellStyle name="Обычный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numFmt numFmtId="165" formatCode="_-* #,##0\ &quot;₽&quot;_-;\-* #,##0\ &quot;₽&quot;_-;_-* &quot;-&quot;??\ &quot;₽&quot;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center" vertical="bottom" textRotation="0" wrapText="0" indent="0" justifyLastLine="0" shrinkToFit="0" readingOrder="0"/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fill>
        <patternFill patternType="solid">
          <fgColor indexed="64"/>
          <bgColor theme="7" tint="-0.249977111117893"/>
        </patternFill>
      </fill>
    </dxf>
    <dxf>
      <fill>
        <patternFill patternType="solid">
          <fgColor indexed="64"/>
          <bgColor theme="7" tint="-0.249977111117893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colors>
    <mruColors>
      <color rgb="FFB3E8C1"/>
      <color rgb="FFA4D4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z-Cyrl-AZ"/>
              <a:t>Распределение ассортимента по ценовым сегментам,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ВПР_результат!$H$1</c:f>
              <c:strCache>
                <c:ptCount val="1"/>
                <c:pt idx="0">
                  <c:v>Кол-во товаров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6B5-4F16-964D-A688BA2729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ВПР_результат!$G$2:$G$5</c:f>
              <c:strCache>
                <c:ptCount val="4"/>
                <c:pt idx="0">
                  <c:v>До 1 000 ₽</c:v>
                </c:pt>
                <c:pt idx="1">
                  <c:v>1 000 - 10 000 ₽</c:v>
                </c:pt>
                <c:pt idx="2">
                  <c:v>10 000 - 100 000 ₽</c:v>
                </c:pt>
                <c:pt idx="3">
                  <c:v>Свыше 100 000 ₽</c:v>
                </c:pt>
              </c:strCache>
            </c:strRef>
          </c:cat>
          <c:val>
            <c:numRef>
              <c:f>ВПР_результат!$H$2:$H$5</c:f>
              <c:numCache>
                <c:formatCode>General</c:formatCode>
                <c:ptCount val="4"/>
                <c:pt idx="0">
                  <c:v>5</c:v>
                </c:pt>
                <c:pt idx="1">
                  <c:v>17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F-41C1-9722-8A6F51271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overlap val="-27"/>
        <c:axId val="1684584968"/>
        <c:axId val="1684593672"/>
      </c:barChart>
      <c:catAx>
        <c:axId val="168458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4593672"/>
        <c:crosses val="autoZero"/>
        <c:auto val="1"/>
        <c:lblAlgn val="ctr"/>
        <c:lblOffset val="100"/>
        <c:noMultiLvlLbl val="0"/>
      </c:catAx>
      <c:valAx>
        <c:axId val="1684593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8458496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[Кейс 1 Аналитика продаж.xlsx]Сводная_таблица!Сводная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z-Cyrl-AZ"/>
              <a:t>Выручка по товарным группам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rgbClr val="4D93D9"/>
          </a:solidFill>
          <a:ln>
            <a:noFill/>
          </a:ln>
          <a:effectLst/>
        </c:spPr>
      </c:pivotFmt>
      <c:pivotFmt>
        <c:idx val="4"/>
        <c:spPr>
          <a:solidFill>
            <a:srgbClr val="4D93D9"/>
          </a:solidFill>
          <a:ln>
            <a:noFill/>
          </a:ln>
          <a:effectLst/>
        </c:spPr>
      </c:pivotFmt>
      <c:pivotFmt>
        <c:idx val="5"/>
        <c:spPr>
          <a:solidFill>
            <a:srgbClr val="4D93D9"/>
          </a:solidFill>
          <a:ln>
            <a:noFill/>
          </a:ln>
          <a:effectLst/>
        </c:spPr>
      </c:pivotFmt>
      <c:pivotFmt>
        <c:idx val="6"/>
        <c:spPr>
          <a:solidFill>
            <a:srgbClr val="4D93D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Сводная_таблица!$B$69</c:f>
              <c:strCache>
                <c:ptCount val="1"/>
                <c:pt idx="0">
                  <c:v>Сумма по полю Выручка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928-4A50-A541-8CEA9E864B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Сводная_таблица!$A$70:$A$82</c:f>
              <c:strCache>
                <c:ptCount val="12"/>
                <c:pt idx="0">
                  <c:v>Ванны</c:v>
                </c:pt>
                <c:pt idx="1">
                  <c:v>Декор</c:v>
                </c:pt>
                <c:pt idx="2">
                  <c:v>Диваны</c:v>
                </c:pt>
                <c:pt idx="3">
                  <c:v>Кресла</c:v>
                </c:pt>
                <c:pt idx="4">
                  <c:v>Кухня</c:v>
                </c:pt>
                <c:pt idx="5">
                  <c:v>Мебель</c:v>
                </c:pt>
                <c:pt idx="6">
                  <c:v>Свет</c:v>
                </c:pt>
                <c:pt idx="7">
                  <c:v>Стеллажи</c:v>
                </c:pt>
                <c:pt idx="8">
                  <c:v>Столы</c:v>
                </c:pt>
                <c:pt idx="9">
                  <c:v>Текстиль</c:v>
                </c:pt>
                <c:pt idx="10">
                  <c:v>Фурнитура</c:v>
                </c:pt>
                <c:pt idx="11">
                  <c:v>Шкафы и комоды</c:v>
                </c:pt>
              </c:strCache>
            </c:strRef>
          </c:cat>
          <c:val>
            <c:numRef>
              <c:f>Сводная_таблица!$B$70:$B$82</c:f>
              <c:numCache>
                <c:formatCode>#,##0\ "₽"</c:formatCode>
                <c:ptCount val="12"/>
                <c:pt idx="0">
                  <c:v>31380</c:v>
                </c:pt>
                <c:pt idx="1">
                  <c:v>248940</c:v>
                </c:pt>
                <c:pt idx="2">
                  <c:v>197970</c:v>
                </c:pt>
                <c:pt idx="3">
                  <c:v>119840</c:v>
                </c:pt>
                <c:pt idx="4">
                  <c:v>1374500</c:v>
                </c:pt>
                <c:pt idx="5">
                  <c:v>7080</c:v>
                </c:pt>
                <c:pt idx="6">
                  <c:v>92230</c:v>
                </c:pt>
                <c:pt idx="7">
                  <c:v>51380</c:v>
                </c:pt>
                <c:pt idx="8">
                  <c:v>256770</c:v>
                </c:pt>
                <c:pt idx="9">
                  <c:v>113920</c:v>
                </c:pt>
                <c:pt idx="10">
                  <c:v>145831</c:v>
                </c:pt>
                <c:pt idx="11">
                  <c:v>78930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3-46E0-A2DB-B8AB48836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32039"/>
        <c:axId val="10739719"/>
      </c:barChart>
      <c:lineChart>
        <c:grouping val="standard"/>
        <c:varyColors val="0"/>
        <c:ser>
          <c:idx val="1"/>
          <c:order val="1"/>
          <c:tx>
            <c:strRef>
              <c:f>Сводная_таблица!$C$69</c:f>
              <c:strCache>
                <c:ptCount val="1"/>
                <c:pt idx="0">
                  <c:v>Сумма по полю Среднее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Сводная_таблица!$A$70:$A$82</c:f>
              <c:strCache>
                <c:ptCount val="12"/>
                <c:pt idx="0">
                  <c:v>Ванны</c:v>
                </c:pt>
                <c:pt idx="1">
                  <c:v>Декор</c:v>
                </c:pt>
                <c:pt idx="2">
                  <c:v>Диваны</c:v>
                </c:pt>
                <c:pt idx="3">
                  <c:v>Кресла</c:v>
                </c:pt>
                <c:pt idx="4">
                  <c:v>Кухня</c:v>
                </c:pt>
                <c:pt idx="5">
                  <c:v>Мебель</c:v>
                </c:pt>
                <c:pt idx="6">
                  <c:v>Свет</c:v>
                </c:pt>
                <c:pt idx="7">
                  <c:v>Стеллажи</c:v>
                </c:pt>
                <c:pt idx="8">
                  <c:v>Столы</c:v>
                </c:pt>
                <c:pt idx="9">
                  <c:v>Текстиль</c:v>
                </c:pt>
                <c:pt idx="10">
                  <c:v>Фурнитура</c:v>
                </c:pt>
                <c:pt idx="11">
                  <c:v>Шкафы и комоды</c:v>
                </c:pt>
              </c:strCache>
            </c:strRef>
          </c:cat>
          <c:val>
            <c:numRef>
              <c:f>Сводная_таблица!$C$70:$C$82</c:f>
              <c:numCache>
                <c:formatCode>#,##0\ "₽"</c:formatCode>
                <c:ptCount val="12"/>
                <c:pt idx="0">
                  <c:v>226564.25</c:v>
                </c:pt>
                <c:pt idx="1">
                  <c:v>226564.25</c:v>
                </c:pt>
                <c:pt idx="2">
                  <c:v>226564.25</c:v>
                </c:pt>
                <c:pt idx="3">
                  <c:v>226564.25</c:v>
                </c:pt>
                <c:pt idx="4">
                  <c:v>226564.25</c:v>
                </c:pt>
                <c:pt idx="5">
                  <c:v>226564.25</c:v>
                </c:pt>
                <c:pt idx="6">
                  <c:v>226564.25</c:v>
                </c:pt>
                <c:pt idx="7">
                  <c:v>226564.25</c:v>
                </c:pt>
                <c:pt idx="8">
                  <c:v>226564.25</c:v>
                </c:pt>
                <c:pt idx="9">
                  <c:v>226564.25</c:v>
                </c:pt>
                <c:pt idx="10">
                  <c:v>226564.25</c:v>
                </c:pt>
                <c:pt idx="11">
                  <c:v>226564.25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3-46E0-A2DB-B8AB48836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11943"/>
        <c:axId val="26695687"/>
      </c:lineChart>
      <c:catAx>
        <c:axId val="10732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39719"/>
        <c:crosses val="autoZero"/>
        <c:auto val="1"/>
        <c:lblAlgn val="ctr"/>
        <c:lblOffset val="100"/>
        <c:noMultiLvlLbl val="0"/>
      </c:catAx>
      <c:valAx>
        <c:axId val="107397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₽&quot;" sourceLinked="1"/>
        <c:majorTickMark val="none"/>
        <c:minorTickMark val="none"/>
        <c:tickLblPos val="nextTo"/>
        <c:crossAx val="10732039"/>
        <c:crosses val="autoZero"/>
        <c:crossBetween val="between"/>
      </c:valAx>
      <c:valAx>
        <c:axId val="266956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az-Cyrl-AZ"/>
                  <a:t>Среднее: 226 564 </a:t>
                </a:r>
                <a:r>
                  <a:rPr lang="en-US"/>
                  <a:t>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\ &quot;₽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9111943"/>
        <c:crosses val="max"/>
        <c:crossBetween val="between"/>
      </c:valAx>
      <c:catAx>
        <c:axId val="59111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695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[Кейс 1 Аналитика продаж.xlsx]Сводная_таблица!Сводная таблица9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z-Cyrl-AZ"/>
              <a:t>Доля топ-5 категорий (макс)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D93D9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546094054198754E-2"/>
              <c:y val="-0.249077984974427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D93D9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4D93D9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4D93D9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4D93D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Сводная_таблица!$B$85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4D93D9"/>
            </a:solidFill>
          </c:spPr>
          <c:dPt>
            <c:idx val="0"/>
            <c:bubble3D val="0"/>
            <c:spPr>
              <a:solidFill>
                <a:srgbClr val="4D93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F1-4AD6-8CF0-C5C0794B7EC0}"/>
              </c:ext>
            </c:extLst>
          </c:dPt>
          <c:dPt>
            <c:idx val="1"/>
            <c:bubble3D val="0"/>
            <c:spPr>
              <a:solidFill>
                <a:srgbClr val="4D93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F1-4AD6-8CF0-C5C0794B7EC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68-421F-9B3D-C96B8A0EC4E8}"/>
              </c:ext>
            </c:extLst>
          </c:dPt>
          <c:dPt>
            <c:idx val="3"/>
            <c:bubble3D val="0"/>
            <c:spPr>
              <a:solidFill>
                <a:srgbClr val="4D93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468-421F-9B3D-C96B8A0EC4E8}"/>
              </c:ext>
            </c:extLst>
          </c:dPt>
          <c:dPt>
            <c:idx val="4"/>
            <c:bubble3D val="0"/>
            <c:spPr>
              <a:solidFill>
                <a:srgbClr val="4D93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F1-4AD6-8CF0-C5C0794B7EC0}"/>
              </c:ext>
            </c:extLst>
          </c:dPt>
          <c:dLbls>
            <c:dLbl>
              <c:idx val="2"/>
              <c:layout>
                <c:manualLayout>
                  <c:x val="2.4546094054198754E-2"/>
                  <c:y val="-0.249077984974427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68-421F-9B3D-C96B8A0EC4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Сводная_таблица!$A$86:$A$91</c:f>
              <c:strCache>
                <c:ptCount val="5"/>
                <c:pt idx="0">
                  <c:v>Декор</c:v>
                </c:pt>
                <c:pt idx="1">
                  <c:v>Диваны</c:v>
                </c:pt>
                <c:pt idx="2">
                  <c:v>Кухня</c:v>
                </c:pt>
                <c:pt idx="3">
                  <c:v>Столы</c:v>
                </c:pt>
                <c:pt idx="4">
                  <c:v>Фурнитура</c:v>
                </c:pt>
              </c:strCache>
            </c:strRef>
          </c:cat>
          <c:val>
            <c:numRef>
              <c:f>Сводная_таблица!$B$86:$B$91</c:f>
              <c:numCache>
                <c:formatCode>General</c:formatCode>
                <c:ptCount val="5"/>
                <c:pt idx="0">
                  <c:v>248940</c:v>
                </c:pt>
                <c:pt idx="1">
                  <c:v>197970</c:v>
                </c:pt>
                <c:pt idx="2">
                  <c:v>1374500</c:v>
                </c:pt>
                <c:pt idx="3">
                  <c:v>256770</c:v>
                </c:pt>
                <c:pt idx="4">
                  <c:v>145831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8-421F-9B3D-C96B8A0EC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z-Cyrl-AZ"/>
              <a:t>Распределение ассортимента по ценовым сегментам,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ВПР_результат!$H$1</c:f>
              <c:strCache>
                <c:ptCount val="1"/>
                <c:pt idx="0">
                  <c:v>Кол-во товаров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33-4B3A-9CE2-401F383FE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ВПР_результат!$G$2:$G$5</c:f>
              <c:strCache>
                <c:ptCount val="4"/>
                <c:pt idx="0">
                  <c:v>До 1 000 ₽</c:v>
                </c:pt>
                <c:pt idx="1">
                  <c:v>1 000 - 10 000 ₽</c:v>
                </c:pt>
                <c:pt idx="2">
                  <c:v>10 000 - 100 000 ₽</c:v>
                </c:pt>
                <c:pt idx="3">
                  <c:v>Свыше 100 000 ₽</c:v>
                </c:pt>
              </c:strCache>
            </c:strRef>
          </c:cat>
          <c:val>
            <c:numRef>
              <c:f>ВПР_результат!$H$2:$H$5</c:f>
              <c:numCache>
                <c:formatCode>General</c:formatCode>
                <c:ptCount val="4"/>
                <c:pt idx="0">
                  <c:v>5</c:v>
                </c:pt>
                <c:pt idx="1">
                  <c:v>17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33-4B3A-9CE2-401F383FE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overlap val="-27"/>
        <c:axId val="1684584968"/>
        <c:axId val="1684593672"/>
      </c:barChart>
      <c:catAx>
        <c:axId val="168458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4593672"/>
        <c:crosses val="autoZero"/>
        <c:auto val="1"/>
        <c:lblAlgn val="ctr"/>
        <c:lblOffset val="100"/>
        <c:noMultiLvlLbl val="0"/>
      </c:catAx>
      <c:valAx>
        <c:axId val="1684593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8458496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0</xdr:row>
      <xdr:rowOff>0</xdr:rowOff>
    </xdr:from>
    <xdr:to>
      <xdr:col>9</xdr:col>
      <xdr:colOff>1019175</xdr:colOff>
      <xdr:row>10</xdr:row>
      <xdr:rowOff>238125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B88D0F-204D-B1CA-E751-1790C0490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66675</xdr:colOff>
      <xdr:row>0</xdr:row>
      <xdr:rowOff>38100</xdr:rowOff>
    </xdr:from>
    <xdr:to>
      <xdr:col>13</xdr:col>
      <xdr:colOff>19050</xdr:colOff>
      <xdr:row>4</xdr:row>
      <xdr:rowOff>190500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3" name="Товарная группа 1">
              <a:extLst>
                <a:ext uri="{FF2B5EF4-FFF2-40B4-BE49-F238E27FC236}">
                  <a16:creationId xmlns:a16="http://schemas.microsoft.com/office/drawing/2014/main" id="{36F36759-6178-6E4E-B08B-AD63F58E1704}"/>
                </a:ext>
                <a:ext uri="{147F2762-F138-4A5C-976F-8EAC2B608ADB}">
                  <a16:predDERef xmlns:a16="http://schemas.microsoft.com/office/drawing/2014/main" pred="{DAB88D0F-204D-B1CA-E751-1790C04903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варная группа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63400" y="38100"/>
              <a:ext cx="3038475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4</xdr:col>
      <xdr:colOff>0</xdr:colOff>
      <xdr:row>16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84DCA4B-476B-8751-A8E0-E832442C7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361950</xdr:colOff>
      <xdr:row>16</xdr:row>
      <xdr:rowOff>19050</xdr:rowOff>
    </xdr:from>
    <xdr:to>
      <xdr:col>4</xdr:col>
      <xdr:colOff>0</xdr:colOff>
      <xdr:row>30</xdr:row>
      <xdr:rowOff>9525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175E7FD-1BC3-4836-E9D9-70098C0AB530}"/>
            </a:ext>
            <a:ext uri="{147F2762-F138-4A5C-976F-8EAC2B608ADB}">
              <a16:predDERef xmlns:a16="http://schemas.microsoft.com/office/drawing/2014/main" pred="{884DCA4B-476B-8751-A8E0-E832442C7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19050</xdr:rowOff>
    </xdr:from>
    <xdr:to>
      <xdr:col>2</xdr:col>
      <xdr:colOff>361950</xdr:colOff>
      <xdr:row>30</xdr:row>
      <xdr:rowOff>9525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9DA656A-1F15-4475-9EE0-7F485F28E798}"/>
            </a:ext>
            <a:ext uri="{147F2762-F138-4A5C-976F-8EAC2B608ADB}">
              <a16:predDERef xmlns:a16="http://schemas.microsoft.com/office/drawing/2014/main" pred="{E175E7FD-1BC3-4836-E9D9-70098C0AB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858849884258" createdVersion="8" refreshedVersion="8" minRefreshableVersion="3" recordCount="73" xr:uid="{8962E2F4-4648-4CA9-8BAC-BD0E935EDDD3}">
  <cacheSource type="worksheet">
    <worksheetSource ref="A1:F1048576" sheet="Анализ_СУММЕСЛИ"/>
  </cacheSource>
  <cacheFields count="6">
    <cacheField name="Артикул" numFmtId="0">
      <sharedItems containsBlank="1"/>
    </cacheField>
    <cacheField name="Наименование" numFmtId="0">
      <sharedItems containsBlank="1"/>
    </cacheField>
    <cacheField name="Товарная группа" numFmtId="0">
      <sharedItems containsBlank="1" count="13">
        <s v="Ванны"/>
        <m/>
        <s v="Декор"/>
        <s v="Диваны"/>
        <s v="Кресла"/>
        <s v="Кухня"/>
        <s v="Мебель"/>
        <s v="Свет"/>
        <s v="Стеллажи"/>
        <s v="Столы"/>
        <s v="Текстиль"/>
        <s v="Фурнитура"/>
        <s v="Шкафы и комоды"/>
      </sharedItems>
    </cacheField>
    <cacheField name="Цена" numFmtId="165">
      <sharedItems containsString="0" containsBlank="1" containsNumber="1" containsInteger="1" minValue="99" maxValue="274900"/>
    </cacheField>
    <cacheField name="Количество" numFmtId="0">
      <sharedItems containsString="0" containsBlank="1" containsNumber="1" containsInteger="1" minValue="2" maxValue="54"/>
    </cacheField>
    <cacheField name="Выручка" numFmtId="0">
      <sharedItems containsString="0" containsBlank="1" containsNumber="1" containsInteger="1" minValue="1295" maxValue="1374500"/>
    </cacheField>
  </cacheFields>
  <extLst>
    <ext xmlns:x14="http://schemas.microsoft.com/office/spreadsheetml/2009/9/main" uri="{725AE2AE-9491-48be-B2B4-4EB974FC3084}">
      <x14:pivotCacheDefinition pivotCacheId="94078775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875157060182" createdVersion="8" refreshedVersion="8" minRefreshableVersion="3" recordCount="12" xr:uid="{2FFC9029-C531-4B20-8B30-9B5F45D4EE53}">
  <cacheSource type="worksheet">
    <worksheetSource ref="A26:C38" sheet="Статистика"/>
  </cacheSource>
  <cacheFields count="3">
    <cacheField name="Товарная группа" numFmtId="0">
      <sharedItems count="12">
        <s v="Ванны"/>
        <s v="Декор"/>
        <s v="Диваны"/>
        <s v="Кресла"/>
        <s v="Кухня"/>
        <s v="Мебель"/>
        <s v="Свет"/>
        <s v="Стеллажи"/>
        <s v="Столы"/>
        <s v="Текстиль"/>
        <s v="Фурнитура"/>
        <s v="Шкафы и комоды"/>
      </sharedItems>
    </cacheField>
    <cacheField name="Выручка" numFmtId="164">
      <sharedItems containsSemiMixedTypes="0" containsString="0" containsNumber="1" containsInteger="1" minValue="7080" maxValue="1374500" count="12">
        <n v="31380"/>
        <n v="248940"/>
        <n v="197970"/>
        <n v="119840"/>
        <n v="1374500"/>
        <n v="7080"/>
        <n v="92230"/>
        <n v="51380"/>
        <n v="256770"/>
        <n v="113920"/>
        <n v="145831"/>
        <n v="78930"/>
      </sharedItems>
    </cacheField>
    <cacheField name="Среднее" numFmtId="164">
      <sharedItems containsSemiMixedTypes="0" containsString="0" containsNumber="1" minValue="226564.25" maxValue="226564.25"/>
    </cacheField>
  </cacheFields>
  <extLst>
    <ext xmlns:x14="http://schemas.microsoft.com/office/spreadsheetml/2009/9/main" uri="{725AE2AE-9491-48be-B2B4-4EB974FC3084}">
      <x14:pivotCacheDefinition pivotCacheId="131636930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937976504632" createdVersion="8" refreshedVersion="8" minRefreshableVersion="3" recordCount="5" xr:uid="{DEB9993D-3CD4-4E1F-9BA8-CC524F385B32}">
  <cacheSource type="worksheet">
    <worksheetSource ref="F17:G22" sheet="Статистика"/>
  </cacheSource>
  <cacheFields count="2">
    <cacheField name="Товар" numFmtId="0">
      <sharedItems count="5">
        <s v="Кухня"/>
        <s v="Столы"/>
        <s v="Декор"/>
        <s v="Диваны"/>
        <s v="Фурнитура"/>
      </sharedItems>
    </cacheField>
    <cacheField name="Выручка" numFmtId="0">
      <sharedItems containsSemiMixedTypes="0" containsString="0" containsNumber="1" containsInteger="1" minValue="145831" maxValue="137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DP86-95"/>
    <s v="Душевая кабина «Эрлит»"/>
    <x v="0"/>
    <n v="15690"/>
    <n v="2"/>
    <n v="31380"/>
  </r>
  <r>
    <m/>
    <m/>
    <x v="1"/>
    <m/>
    <m/>
    <m/>
  </r>
  <r>
    <m/>
    <m/>
    <x v="1"/>
    <m/>
    <m/>
    <m/>
  </r>
  <r>
    <s v="VR75-03"/>
    <s v="Набор подушек декоративных"/>
    <x v="2"/>
    <n v="5690"/>
    <n v="8"/>
    <n v="45520"/>
  </r>
  <r>
    <s v="OP87-04"/>
    <s v="Массажный коврик"/>
    <x v="2"/>
    <n v="1490"/>
    <n v="37"/>
    <n v="55130"/>
  </r>
  <r>
    <s v="YT76-80"/>
    <s v="Набор органайзеров 5шт."/>
    <x v="2"/>
    <n v="1290"/>
    <n v="4"/>
    <n v="5160"/>
  </r>
  <r>
    <s v="DE86-95"/>
    <s v="Панно декоративное «Африка»"/>
    <x v="2"/>
    <n v="7890"/>
    <n v="17"/>
    <n v="134130"/>
  </r>
  <r>
    <s v="VO65-25"/>
    <s v="Подсвечник декоративный"/>
    <x v="2"/>
    <n v="750"/>
    <n v="12"/>
    <n v="9000"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s v="DF45-08"/>
    <s v="Угловой диван-кровать «Эвита»"/>
    <x v="3"/>
    <n v="65990"/>
    <n v="3"/>
    <n v="197970"/>
  </r>
  <r>
    <m/>
    <m/>
    <x v="1"/>
    <m/>
    <m/>
    <m/>
  </r>
  <r>
    <m/>
    <m/>
    <x v="1"/>
    <m/>
    <m/>
    <m/>
  </r>
  <r>
    <s v="VN17-40"/>
    <s v="Кресло «Райское наслаждение»"/>
    <x v="4"/>
    <n v="7490"/>
    <n v="16"/>
    <n v="119840"/>
  </r>
  <r>
    <m/>
    <m/>
    <x v="1"/>
    <m/>
    <m/>
    <m/>
  </r>
  <r>
    <m/>
    <m/>
    <x v="1"/>
    <m/>
    <m/>
    <m/>
  </r>
  <r>
    <s v="DN45-68"/>
    <s v="Кухонный гарнитур «Прованс»"/>
    <x v="5"/>
    <n v="274900"/>
    <n v="5"/>
    <n v="1374500"/>
  </r>
  <r>
    <m/>
    <m/>
    <x v="1"/>
    <m/>
    <m/>
    <m/>
  </r>
  <r>
    <m/>
    <m/>
    <x v="1"/>
    <m/>
    <m/>
    <m/>
  </r>
  <r>
    <s v="VT65-74"/>
    <s v="Навесная полка «Оливия»"/>
    <x v="6"/>
    <n v="590"/>
    <n v="12"/>
    <n v="7080"/>
  </r>
  <r>
    <m/>
    <m/>
    <x v="1"/>
    <m/>
    <m/>
    <m/>
  </r>
  <r>
    <m/>
    <m/>
    <x v="1"/>
    <m/>
    <m/>
    <m/>
  </r>
  <r>
    <s v="WP25-38"/>
    <s v="Торшер «Альфредо»"/>
    <x v="7"/>
    <n v="3290"/>
    <n v="21"/>
    <n v="69090"/>
  </r>
  <r>
    <s v="FP86-07"/>
    <s v="Бра «Тайный свет»"/>
    <x v="7"/>
    <n v="890"/>
    <n v="26"/>
    <n v="23140"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s v="WM32-27"/>
    <s v="Этажерка 3-ярусная"/>
    <x v="8"/>
    <n v="1390"/>
    <n v="9"/>
    <n v="12510"/>
  </r>
  <r>
    <s v="MN56-32"/>
    <s v="Стеллаж «Канкун»"/>
    <x v="8"/>
    <n v="2990"/>
    <n v="13"/>
    <n v="38870"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s v="BE65-00"/>
    <s v="Обеденный стол «Трапеза»"/>
    <x v="9"/>
    <n v="10490"/>
    <n v="3"/>
    <n v="31470"/>
  </r>
  <r>
    <s v="BY65-24"/>
    <s v="Журнальный столик «Таурус»"/>
    <x v="9"/>
    <n v="5990"/>
    <n v="9"/>
    <n v="53910"/>
  </r>
  <r>
    <s v="WE25-48"/>
    <s v="Письменный стол «Тандем»"/>
    <x v="9"/>
    <n v="9590"/>
    <n v="16"/>
    <n v="153440"/>
  </r>
  <r>
    <s v="KE35-92"/>
    <s v="Тумба деревянная «Альба»"/>
    <x v="9"/>
    <n v="3590"/>
    <n v="5"/>
    <n v="17950"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s v="HN47-96"/>
    <s v="Покрывало «Прованс»"/>
    <x v="10"/>
    <n v="2990"/>
    <n v="23"/>
    <n v="68770"/>
  </r>
  <r>
    <s v="MI56-74"/>
    <s v="Занавески «Морская волна»"/>
    <x v="10"/>
    <n v="1290"/>
    <n v="16"/>
    <n v="20640"/>
  </r>
  <r>
    <s v="EP65-84"/>
    <s v="Постельное белье «Морская гладь»"/>
    <x v="10"/>
    <n v="1290"/>
    <n v="19"/>
    <n v="24510"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s v="VU50-74"/>
    <s v="Кронштейн однорядный"/>
    <x v="11"/>
    <n v="99"/>
    <n v="54"/>
    <n v="5346"/>
  </r>
  <r>
    <s v="FY33-47"/>
    <s v="Карниз металлический "/>
    <x v="11"/>
    <n v="259"/>
    <n v="5"/>
    <n v="1295"/>
  </r>
  <r>
    <s v="KO35-95"/>
    <s v="Смеситель «Посейдон»"/>
    <x v="11"/>
    <n v="4490"/>
    <n v="31"/>
    <n v="139190"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s v="NF49-06"/>
    <s v="Шкаф-купе «Альберто»"/>
    <x v="12"/>
    <n v="5590"/>
    <n v="10"/>
    <n v="55900"/>
  </r>
  <r>
    <s v="RT65-07"/>
    <s v="Комод «Бостон»"/>
    <x v="12"/>
    <n v="3290"/>
    <n v="7"/>
    <n v="23030"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  <r>
    <m/>
    <m/>
    <x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226564.25"/>
  </r>
  <r>
    <x v="1"/>
    <x v="1"/>
    <n v="226564.25"/>
  </r>
  <r>
    <x v="2"/>
    <x v="2"/>
    <n v="226564.25"/>
  </r>
  <r>
    <x v="3"/>
    <x v="3"/>
    <n v="226564.25"/>
  </r>
  <r>
    <x v="4"/>
    <x v="4"/>
    <n v="226564.25"/>
  </r>
  <r>
    <x v="5"/>
    <x v="5"/>
    <n v="226564.25"/>
  </r>
  <r>
    <x v="6"/>
    <x v="6"/>
    <n v="226564.25"/>
  </r>
  <r>
    <x v="7"/>
    <x v="7"/>
    <n v="226564.25"/>
  </r>
  <r>
    <x v="8"/>
    <x v="8"/>
    <n v="226564.25"/>
  </r>
  <r>
    <x v="9"/>
    <x v="9"/>
    <n v="226564.25"/>
  </r>
  <r>
    <x v="10"/>
    <x v="10"/>
    <n v="226564.25"/>
  </r>
  <r>
    <x v="11"/>
    <x v="11"/>
    <n v="226564.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374500"/>
  </r>
  <r>
    <x v="1"/>
    <n v="256770"/>
  </r>
  <r>
    <x v="2"/>
    <n v="248940"/>
  </r>
  <r>
    <x v="3"/>
    <n v="197970"/>
  </r>
  <r>
    <x v="4"/>
    <n v="1458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B285E-C66F-4B28-B600-1CFF111DA83B}" name="Сводная таблица2" cacheId="1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2">
  <location ref="A52:D66" firstHeaderRow="0" firstDataRow="1" firstDataCol="1"/>
  <pivotFields count="6">
    <pivotField compact="0" outline="0" showAll="0"/>
    <pivotField dataField="1" compact="0" outline="0" showAll="0"/>
    <pivotField axis="axisRow" compact="0" outline="0" showAll="0">
      <items count="14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Выручка" fld="5" baseField="0" baseItem="0" numFmtId="44"/>
    <dataField name="Сумма по полю Количество" fld="4" baseField="0" baseItem="0"/>
    <dataField name="Количество по полю Наименование" fld="1" subtotal="count" baseField="0" baseItem="0"/>
  </dataFields>
  <formats count="12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outline="0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field="2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field="2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AD936-6B16-403D-B8B1-ADD6D9F068D2}" name="Сводная таблица9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2">
  <location ref="A85:B91" firstHeaderRow="1" firstDataRow="1" firstDataCol="1"/>
  <pivotFields count="2"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ма по полю Выручка" fld="1" baseField="0" baseItem="0"/>
  </dataFields>
  <formats count="6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AD84E-7258-44B0-A193-C083F4160D35}" name="Сводная таблица3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2">
  <location ref="A69:C82" firstHeaderRow="0" firstDataRow="1" firstDataCol="1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numFmtId="164" outline="0" showAll="0">
      <items count="13">
        <item x="5"/>
        <item x="0"/>
        <item x="7"/>
        <item x="11"/>
        <item x="6"/>
        <item x="9"/>
        <item x="3"/>
        <item x="10"/>
        <item x="2"/>
        <item x="1"/>
        <item x="8"/>
        <item x="4"/>
        <item t="default"/>
      </items>
    </pivotField>
    <pivotField dataField="1" compact="0" numFmtId="164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Выручка" fld="1" baseField="0" baseItem="0" numFmtId="164"/>
    <dataField name="Сумма по полю Среднее" fld="2" baseField="0" baseItem="0" numFmtId="164"/>
  </dataFields>
  <formats count="4">
    <format dxfId="7">
      <pivotArea outline="0" fieldPosition="0">
        <references count="1">
          <reference field="0" count="0" selected="0"/>
        </references>
      </pivotArea>
    </format>
    <format dxfId="8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0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варная_группа1" xr10:uid="{A565E39F-24DC-4E08-B5E9-D346C5A73670}" sourceName="Товарная группа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оварная группа 1" xr10:uid="{DB2E481E-32C0-40DB-B01A-F3251AE6F2A5}" cache="Срез_Товарная_группа1" caption="Товарная группа" columnCount="4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ABCC3-37B3-4811-95B9-D7F60DE3AF06}" name="Таблица1" displayName="Таблица1" ref="A1:E27" totalsRowShown="0" headerRowDxfId="6" dataDxfId="5">
  <autoFilter ref="A1:E27" xr:uid="{3FAABCC3-37B3-4811-95B9-D7F60DE3AF06}"/>
  <tableColumns count="5">
    <tableColumn id="1" xr3:uid="{4D661AA5-238C-493F-A93C-5CF3AFAC4DE6}" name="Артикул" dataDxfId="4">
      <calculatedColumnFormula>VLOOKUP($B2,Справочник_Каталог!$A:$D,4,0)</calculatedColumnFormula>
    </tableColumn>
    <tableColumn id="2" xr3:uid="{D395D48C-2C08-4D03-87B9-253AA889E6B8}" name="Наименование" dataDxfId="3"/>
    <tableColumn id="3" xr3:uid="{6A0B586E-314D-4FAC-8F8B-A0746638D6A4}" name="Товарная группа" dataDxfId="2">
      <calculatedColumnFormula>VLOOKUP($B2,Справочник_Каталог!$A:$D,2,0)</calculatedColumnFormula>
    </tableColumn>
    <tableColumn id="4" xr3:uid="{DA6F928E-157E-4660-95EA-AA44C391212A}" name="Цена" dataDxfId="1"/>
    <tableColumn id="5" xr3:uid="{37204FA0-274B-43AF-BE1A-C0DF2E985734}" name="Количество" dataDxfId="0">
      <calculatedColumnFormula>VLOOKUP($B2,Продажи_исходные!$A:$C,3,0)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86F6-7AF0-4137-8FC1-DC0715851D98}">
  <dimension ref="A1:P1000"/>
  <sheetViews>
    <sheetView workbookViewId="0">
      <selection activeCell="C4" sqref="C4"/>
    </sheetView>
  </sheetViews>
  <sheetFormatPr defaultColWidth="14.42578125" defaultRowHeight="15" customHeight="1"/>
  <cols>
    <col min="1" max="1" width="36" customWidth="1"/>
    <col min="2" max="2" width="20.28515625" customWidth="1"/>
    <col min="3" max="3" width="8.7109375" customWidth="1"/>
    <col min="4" max="4" width="10.42578125" customWidth="1"/>
    <col min="5" max="26" width="9.28515625" customWidth="1"/>
  </cols>
  <sheetData>
    <row r="1" spans="1:1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26"/>
      <c r="F1" s="4"/>
    </row>
    <row r="2" spans="1:16" ht="18.75" customHeight="1">
      <c r="A2" s="27" t="s">
        <v>4</v>
      </c>
      <c r="B2" s="28" t="s">
        <v>5</v>
      </c>
      <c r="C2" s="29">
        <v>7490</v>
      </c>
      <c r="D2" s="28" t="s">
        <v>6</v>
      </c>
      <c r="E2" s="30"/>
      <c r="F2" s="7"/>
      <c r="G2" s="8"/>
      <c r="H2" s="8"/>
      <c r="I2" s="8"/>
      <c r="J2" s="8"/>
      <c r="K2" s="9"/>
      <c r="L2" s="10"/>
      <c r="M2" s="10"/>
      <c r="N2" s="10"/>
      <c r="O2" s="10"/>
      <c r="P2" s="10"/>
    </row>
    <row r="3" spans="1:16" ht="18.75" customHeight="1">
      <c r="A3" s="27" t="s">
        <v>7</v>
      </c>
      <c r="B3" s="28" t="s">
        <v>8</v>
      </c>
      <c r="C3" s="29">
        <v>2990</v>
      </c>
      <c r="D3" s="28" t="s">
        <v>9</v>
      </c>
      <c r="E3" s="30"/>
      <c r="F3" s="7"/>
      <c r="G3" s="8"/>
      <c r="H3" s="8"/>
      <c r="I3" s="8"/>
      <c r="J3" s="8"/>
      <c r="K3" s="9"/>
      <c r="L3" s="10"/>
      <c r="M3" s="10"/>
      <c r="N3" s="10"/>
      <c r="O3" s="10"/>
      <c r="P3" s="10"/>
    </row>
    <row r="4" spans="1:16" ht="18.75" customHeight="1">
      <c r="A4" s="27" t="s">
        <v>10</v>
      </c>
      <c r="B4" s="28" t="s">
        <v>11</v>
      </c>
      <c r="C4" s="29">
        <v>274900</v>
      </c>
      <c r="D4" s="28" t="s">
        <v>12</v>
      </c>
      <c r="E4" s="30"/>
      <c r="F4" s="7"/>
      <c r="G4" s="8"/>
      <c r="H4" s="8"/>
      <c r="I4" s="8"/>
      <c r="J4" s="8"/>
      <c r="K4" s="9"/>
      <c r="L4" s="10"/>
      <c r="M4" s="10"/>
      <c r="N4" s="10"/>
      <c r="O4" s="10"/>
      <c r="P4" s="10"/>
    </row>
    <row r="5" spans="1:16" ht="18.75" customHeight="1">
      <c r="A5" s="27" t="s">
        <v>13</v>
      </c>
      <c r="B5" s="28" t="s">
        <v>14</v>
      </c>
      <c r="C5" s="29">
        <v>10490</v>
      </c>
      <c r="D5" s="28" t="s">
        <v>15</v>
      </c>
      <c r="E5" s="30"/>
      <c r="F5" s="7"/>
      <c r="G5" s="8"/>
      <c r="H5" s="8"/>
      <c r="I5" s="8"/>
      <c r="J5" s="8"/>
      <c r="K5" s="9"/>
      <c r="L5" s="10"/>
      <c r="M5" s="10"/>
      <c r="N5" s="10"/>
      <c r="O5" s="10"/>
      <c r="P5" s="10"/>
    </row>
    <row r="6" spans="1:16" ht="18.75" customHeight="1">
      <c r="A6" s="27" t="s">
        <v>16</v>
      </c>
      <c r="B6" s="28" t="s">
        <v>17</v>
      </c>
      <c r="C6" s="29">
        <v>65990</v>
      </c>
      <c r="D6" s="28" t="s">
        <v>18</v>
      </c>
      <c r="E6" s="30"/>
      <c r="F6" s="7"/>
      <c r="G6" s="8"/>
      <c r="H6" s="8"/>
      <c r="I6" s="8"/>
      <c r="J6" s="8"/>
      <c r="K6" s="9"/>
      <c r="L6" s="10"/>
      <c r="M6" s="10"/>
      <c r="N6" s="10"/>
      <c r="O6" s="10"/>
      <c r="P6" s="10"/>
    </row>
    <row r="7" spans="1:16" ht="18.75" customHeight="1">
      <c r="A7" s="27" t="s">
        <v>19</v>
      </c>
      <c r="B7" s="28" t="s">
        <v>14</v>
      </c>
      <c r="C7" s="29">
        <v>5990</v>
      </c>
      <c r="D7" s="28" t="s">
        <v>20</v>
      </c>
      <c r="E7" s="30"/>
      <c r="F7" s="7"/>
      <c r="G7" s="8"/>
      <c r="H7" s="8"/>
      <c r="I7" s="8"/>
      <c r="J7" s="8"/>
      <c r="K7" s="9"/>
      <c r="L7" s="10"/>
      <c r="M7" s="10"/>
      <c r="N7" s="10"/>
      <c r="O7" s="10"/>
      <c r="P7" s="10"/>
    </row>
    <row r="8" spans="1:16" ht="18.75" customHeight="1">
      <c r="A8" s="27" t="s">
        <v>21</v>
      </c>
      <c r="B8" s="28" t="s">
        <v>14</v>
      </c>
      <c r="C8" s="29">
        <v>9590</v>
      </c>
      <c r="D8" s="28" t="s">
        <v>22</v>
      </c>
      <c r="E8" s="30"/>
      <c r="F8" s="7"/>
      <c r="G8" s="8"/>
      <c r="H8" s="8"/>
      <c r="I8" s="8"/>
      <c r="J8" s="8"/>
      <c r="K8" s="9"/>
      <c r="L8" s="10"/>
      <c r="M8" s="10"/>
      <c r="N8" s="10"/>
      <c r="O8" s="10"/>
      <c r="P8" s="10"/>
    </row>
    <row r="9" spans="1:16" ht="18.75" customHeight="1">
      <c r="A9" s="27" t="s">
        <v>23</v>
      </c>
      <c r="B9" s="28" t="s">
        <v>24</v>
      </c>
      <c r="C9" s="29">
        <v>2990</v>
      </c>
      <c r="D9" s="28" t="s">
        <v>25</v>
      </c>
      <c r="E9" s="30"/>
      <c r="F9" s="7"/>
      <c r="G9" s="8"/>
      <c r="H9" s="8"/>
      <c r="I9" s="8"/>
      <c r="J9" s="8"/>
      <c r="K9" s="9"/>
      <c r="L9" s="10"/>
      <c r="M9" s="10"/>
      <c r="N9" s="10"/>
      <c r="O9" s="10"/>
      <c r="P9" s="10"/>
    </row>
    <row r="10" spans="1:16" ht="18.75" customHeight="1">
      <c r="A10" s="27" t="s">
        <v>26</v>
      </c>
      <c r="B10" s="28" t="s">
        <v>14</v>
      </c>
      <c r="C10" s="29">
        <v>3590</v>
      </c>
      <c r="D10" s="28" t="s">
        <v>27</v>
      </c>
      <c r="E10" s="30"/>
      <c r="F10" s="7"/>
      <c r="G10" s="8"/>
      <c r="H10" s="8"/>
      <c r="I10" s="8"/>
      <c r="J10" s="8"/>
      <c r="K10" s="9"/>
      <c r="L10" s="10"/>
      <c r="M10" s="10"/>
      <c r="N10" s="10"/>
      <c r="O10" s="10"/>
      <c r="P10" s="10"/>
    </row>
    <row r="11" spans="1:16" ht="18.75" customHeight="1">
      <c r="A11" s="27" t="s">
        <v>28</v>
      </c>
      <c r="B11" s="28" t="s">
        <v>29</v>
      </c>
      <c r="C11" s="29">
        <v>750</v>
      </c>
      <c r="D11" s="28" t="s">
        <v>30</v>
      </c>
      <c r="E11" s="30"/>
      <c r="F11" s="7"/>
      <c r="G11" s="8"/>
      <c r="H11" s="8"/>
      <c r="I11" s="8"/>
      <c r="J11" s="8"/>
      <c r="K11" s="9"/>
      <c r="L11" s="10"/>
      <c r="M11" s="10"/>
      <c r="N11" s="10"/>
      <c r="O11" s="10"/>
      <c r="P11" s="10"/>
    </row>
    <row r="12" spans="1:16" ht="18.75" customHeight="1">
      <c r="A12" s="27" t="s">
        <v>31</v>
      </c>
      <c r="B12" s="28" t="s">
        <v>32</v>
      </c>
      <c r="C12" s="29">
        <v>3290</v>
      </c>
      <c r="D12" s="28" t="s">
        <v>33</v>
      </c>
      <c r="E12" s="30"/>
      <c r="F12" s="7"/>
      <c r="G12" s="8"/>
      <c r="H12" s="8"/>
      <c r="I12" s="8"/>
      <c r="J12" s="8"/>
      <c r="K12" s="9"/>
      <c r="L12" s="11"/>
      <c r="M12" s="11"/>
      <c r="N12" s="11"/>
      <c r="O12" s="10"/>
      <c r="P12" s="10"/>
    </row>
    <row r="13" spans="1:16" ht="18.75" customHeight="1">
      <c r="A13" s="27" t="s">
        <v>34</v>
      </c>
      <c r="B13" s="28" t="s">
        <v>8</v>
      </c>
      <c r="C13" s="29">
        <v>1290</v>
      </c>
      <c r="D13" s="28" t="s">
        <v>35</v>
      </c>
      <c r="E13" s="28"/>
      <c r="F13" s="7"/>
      <c r="G13" s="8"/>
      <c r="H13" s="8"/>
      <c r="I13" s="8"/>
      <c r="J13" s="8"/>
      <c r="K13" s="9"/>
      <c r="L13" s="11"/>
      <c r="M13" s="11"/>
      <c r="N13" s="11"/>
      <c r="O13" s="10"/>
      <c r="P13" s="10"/>
    </row>
    <row r="14" spans="1:16" ht="18.75" customHeight="1">
      <c r="A14" s="27" t="s">
        <v>36</v>
      </c>
      <c r="B14" s="28" t="s">
        <v>37</v>
      </c>
      <c r="C14" s="29">
        <v>99</v>
      </c>
      <c r="D14" s="28" t="s">
        <v>38</v>
      </c>
      <c r="E14" s="28"/>
      <c r="F14" s="7"/>
      <c r="G14" s="8"/>
      <c r="H14" s="8"/>
      <c r="I14" s="8"/>
      <c r="J14" s="8"/>
      <c r="K14" s="9"/>
      <c r="L14" s="11"/>
      <c r="M14" s="11"/>
      <c r="N14" s="11"/>
      <c r="O14" s="10"/>
      <c r="P14" s="10"/>
    </row>
    <row r="15" spans="1:16" ht="18.75" customHeight="1">
      <c r="A15" s="27" t="s">
        <v>39</v>
      </c>
      <c r="B15" s="28" t="s">
        <v>37</v>
      </c>
      <c r="C15" s="29">
        <v>259</v>
      </c>
      <c r="D15" s="28" t="s">
        <v>40</v>
      </c>
      <c r="E15" s="28"/>
      <c r="F15" s="7"/>
      <c r="G15" s="8"/>
      <c r="H15" s="8"/>
      <c r="I15" s="8"/>
      <c r="J15" s="8"/>
      <c r="K15" s="9"/>
      <c r="L15" s="11"/>
      <c r="M15" s="11"/>
      <c r="N15" s="11"/>
      <c r="O15" s="10"/>
      <c r="P15" s="10"/>
    </row>
    <row r="16" spans="1:16" ht="18.75" customHeight="1">
      <c r="A16" s="27" t="s">
        <v>41</v>
      </c>
      <c r="B16" s="28" t="s">
        <v>29</v>
      </c>
      <c r="C16" s="29">
        <v>5690</v>
      </c>
      <c r="D16" s="28" t="s">
        <v>42</v>
      </c>
      <c r="E16" s="28"/>
      <c r="F16" s="7"/>
      <c r="G16" s="8"/>
      <c r="H16" s="8"/>
      <c r="I16" s="8"/>
      <c r="J16" s="8"/>
      <c r="K16" s="9"/>
      <c r="L16" s="11"/>
      <c r="M16" s="11"/>
      <c r="N16" s="11"/>
      <c r="O16" s="10"/>
      <c r="P16" s="10"/>
    </row>
    <row r="17" spans="1:16" ht="18.75" customHeight="1">
      <c r="A17" s="27" t="s">
        <v>43</v>
      </c>
      <c r="B17" s="28" t="s">
        <v>29</v>
      </c>
      <c r="C17" s="29">
        <v>1490</v>
      </c>
      <c r="D17" s="28" t="s">
        <v>44</v>
      </c>
      <c r="E17" s="28"/>
      <c r="F17" s="7"/>
      <c r="G17" s="12"/>
      <c r="H17" s="8"/>
      <c r="I17" s="8"/>
      <c r="J17" s="8"/>
      <c r="K17" s="9"/>
      <c r="L17" s="11"/>
      <c r="M17" s="11"/>
      <c r="N17" s="11"/>
      <c r="O17" s="10"/>
      <c r="P17" s="10"/>
    </row>
    <row r="18" spans="1:16" ht="18.75" customHeight="1">
      <c r="A18" s="27" t="s">
        <v>45</v>
      </c>
      <c r="B18" s="28" t="s">
        <v>8</v>
      </c>
      <c r="C18" s="29">
        <v>1290</v>
      </c>
      <c r="D18" s="28" t="s">
        <v>46</v>
      </c>
      <c r="E18" s="28"/>
      <c r="F18" s="7"/>
      <c r="G18" s="12"/>
      <c r="H18" s="8"/>
      <c r="I18" s="8"/>
      <c r="J18" s="8"/>
      <c r="K18" s="9"/>
      <c r="L18" s="11"/>
      <c r="M18" s="11"/>
      <c r="N18" s="11"/>
      <c r="O18" s="10"/>
      <c r="P18" s="10"/>
    </row>
    <row r="19" spans="1:16" ht="18.75" customHeight="1">
      <c r="A19" s="27" t="s">
        <v>47</v>
      </c>
      <c r="B19" s="28" t="s">
        <v>32</v>
      </c>
      <c r="C19" s="29">
        <v>5590</v>
      </c>
      <c r="D19" s="28" t="s">
        <v>48</v>
      </c>
      <c r="E19" s="28"/>
      <c r="F19" s="7"/>
      <c r="G19" s="12"/>
      <c r="H19" s="13"/>
      <c r="I19" s="8"/>
      <c r="J19" s="8"/>
      <c r="K19" s="9"/>
      <c r="L19" s="11"/>
      <c r="M19" s="11"/>
      <c r="N19" s="11"/>
      <c r="O19" s="10"/>
      <c r="P19" s="10"/>
    </row>
    <row r="20" spans="1:16" ht="18.75" customHeight="1">
      <c r="A20" s="27" t="s">
        <v>49</v>
      </c>
      <c r="B20" s="28" t="s">
        <v>24</v>
      </c>
      <c r="C20" s="29">
        <v>1390</v>
      </c>
      <c r="D20" s="28" t="s">
        <v>50</v>
      </c>
      <c r="E20" s="28"/>
      <c r="F20" s="7"/>
      <c r="G20" s="12"/>
      <c r="H20" s="14"/>
      <c r="I20" s="8"/>
      <c r="J20" s="8"/>
      <c r="K20" s="9"/>
      <c r="L20" s="11"/>
      <c r="M20" s="11"/>
      <c r="N20" s="11"/>
      <c r="O20" s="10"/>
      <c r="P20" s="10"/>
    </row>
    <row r="21" spans="1:16" ht="18.75" customHeight="1">
      <c r="A21" s="27" t="s">
        <v>51</v>
      </c>
      <c r="B21" s="28" t="s">
        <v>29</v>
      </c>
      <c r="C21" s="29">
        <v>7890</v>
      </c>
      <c r="D21" s="28" t="s">
        <v>52</v>
      </c>
      <c r="E21" s="28"/>
      <c r="F21" s="7"/>
      <c r="G21" s="12"/>
      <c r="H21" s="8"/>
      <c r="I21" s="8"/>
      <c r="J21" s="8"/>
      <c r="K21" s="9"/>
      <c r="L21" s="11"/>
      <c r="M21" s="11"/>
      <c r="N21" s="11"/>
      <c r="O21" s="10"/>
      <c r="P21" s="10"/>
    </row>
    <row r="22" spans="1:16" ht="18.75" customHeight="1">
      <c r="A22" s="27" t="s">
        <v>53</v>
      </c>
      <c r="B22" s="28" t="s">
        <v>54</v>
      </c>
      <c r="C22" s="29">
        <v>15690</v>
      </c>
      <c r="D22" s="28" t="s">
        <v>55</v>
      </c>
      <c r="E22" s="28"/>
      <c r="F22" s="7"/>
      <c r="G22" s="12"/>
      <c r="H22" s="8"/>
      <c r="I22" s="8"/>
      <c r="J22" s="8"/>
      <c r="K22" s="9"/>
      <c r="L22" s="11"/>
      <c r="M22" s="11"/>
      <c r="N22" s="11"/>
      <c r="O22" s="10"/>
      <c r="P22" s="10"/>
    </row>
    <row r="23" spans="1:16" ht="18.75" customHeight="1">
      <c r="A23" s="27" t="s">
        <v>56</v>
      </c>
      <c r="B23" s="28" t="s">
        <v>37</v>
      </c>
      <c r="C23" s="29">
        <v>4490</v>
      </c>
      <c r="D23" s="28" t="s">
        <v>57</v>
      </c>
      <c r="E23" s="28"/>
      <c r="F23" s="7"/>
      <c r="G23" s="12"/>
      <c r="H23" s="8"/>
      <c r="I23" s="8"/>
      <c r="J23" s="8"/>
      <c r="K23" s="9"/>
      <c r="L23" s="11"/>
      <c r="M23" s="11"/>
      <c r="N23" s="11"/>
      <c r="O23" s="10"/>
      <c r="P23" s="10"/>
    </row>
    <row r="24" spans="1:16" ht="18.75" customHeight="1">
      <c r="A24" s="27" t="s">
        <v>58</v>
      </c>
      <c r="B24" s="28" t="s">
        <v>59</v>
      </c>
      <c r="C24" s="29">
        <v>590</v>
      </c>
      <c r="D24" s="28" t="s">
        <v>60</v>
      </c>
      <c r="E24" s="28"/>
      <c r="F24" s="7"/>
      <c r="G24" s="8"/>
      <c r="H24" s="8"/>
      <c r="I24" s="8"/>
      <c r="J24" s="8"/>
      <c r="K24" s="9"/>
      <c r="L24" s="11"/>
      <c r="M24" s="11"/>
      <c r="N24" s="11"/>
      <c r="O24" s="10"/>
      <c r="P24" s="10"/>
    </row>
    <row r="25" spans="1:16" ht="18.75" customHeight="1">
      <c r="A25" s="27" t="s">
        <v>61</v>
      </c>
      <c r="B25" s="28" t="s">
        <v>29</v>
      </c>
      <c r="C25" s="29">
        <v>1290</v>
      </c>
      <c r="D25" s="28" t="s">
        <v>62</v>
      </c>
      <c r="E25" s="28"/>
      <c r="F25" s="7"/>
      <c r="G25" s="8"/>
      <c r="H25" s="8"/>
      <c r="I25" s="8"/>
      <c r="J25" s="8"/>
      <c r="K25" s="9"/>
      <c r="L25" s="10"/>
      <c r="M25" s="10"/>
      <c r="N25" s="10"/>
      <c r="O25" s="10"/>
      <c r="P25" s="10"/>
    </row>
    <row r="26" spans="1:16" ht="18.75" customHeight="1">
      <c r="A26" s="27" t="s">
        <v>63</v>
      </c>
      <c r="B26" s="28" t="s">
        <v>64</v>
      </c>
      <c r="C26" s="29">
        <v>3290</v>
      </c>
      <c r="D26" s="28" t="s">
        <v>65</v>
      </c>
      <c r="E26" s="28"/>
      <c r="F26" s="7"/>
      <c r="G26" s="9"/>
      <c r="H26" s="9"/>
      <c r="I26" s="9"/>
      <c r="J26" s="9"/>
      <c r="K26" s="9"/>
      <c r="L26" s="10"/>
      <c r="M26" s="10"/>
      <c r="N26" s="10"/>
      <c r="O26" s="10"/>
      <c r="P26" s="10"/>
    </row>
    <row r="27" spans="1:16" ht="18.75" customHeight="1">
      <c r="A27" s="27" t="s">
        <v>66</v>
      </c>
      <c r="B27" s="28" t="s">
        <v>64</v>
      </c>
      <c r="C27" s="29">
        <v>890</v>
      </c>
      <c r="D27" s="28" t="s">
        <v>67</v>
      </c>
      <c r="E27" s="28"/>
      <c r="F27" s="7"/>
      <c r="G27" s="9"/>
      <c r="H27" s="9"/>
      <c r="I27" s="9"/>
      <c r="J27" s="9"/>
      <c r="K27" s="9"/>
      <c r="L27" s="10"/>
      <c r="M27" s="10"/>
      <c r="N27" s="10"/>
      <c r="O27" s="10"/>
      <c r="P27" s="10"/>
    </row>
    <row r="28" spans="1:16" ht="14.25" customHeight="1">
      <c r="E28" s="15"/>
      <c r="F28" s="7"/>
      <c r="G28" s="9"/>
      <c r="H28" s="9"/>
      <c r="I28" s="9"/>
      <c r="J28" s="9"/>
      <c r="K28" s="9"/>
      <c r="L28" s="10"/>
      <c r="M28" s="10"/>
      <c r="N28" s="10"/>
      <c r="O28" s="10"/>
      <c r="P28" s="10"/>
    </row>
    <row r="29" spans="1:16" ht="14.25" customHeight="1">
      <c r="D29" s="2"/>
      <c r="E29" s="15"/>
      <c r="F29" s="7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14.25" customHeight="1">
      <c r="A30" s="3"/>
      <c r="B30" s="3"/>
      <c r="C30" s="3"/>
      <c r="D30" s="2"/>
      <c r="E30" s="5"/>
      <c r="F30" s="3"/>
    </row>
    <row r="31" spans="1:16" ht="14.25" customHeight="1">
      <c r="E31" s="5"/>
      <c r="F31" s="3"/>
    </row>
    <row r="32" spans="1:16" ht="14.25" customHeight="1">
      <c r="E32" s="5"/>
      <c r="F32" s="3"/>
    </row>
    <row r="33" spans="5:6" ht="14.25" customHeight="1">
      <c r="E33" s="5"/>
      <c r="F33" s="3"/>
    </row>
    <row r="34" spans="5:6" ht="14.25" customHeight="1">
      <c r="E34" s="5"/>
      <c r="F34" s="3"/>
    </row>
    <row r="35" spans="5:6" ht="14.25" customHeight="1">
      <c r="E35" s="5"/>
      <c r="F35" s="3"/>
    </row>
    <row r="36" spans="5:6" ht="14.25" customHeight="1">
      <c r="E36" s="5"/>
      <c r="F36" s="3"/>
    </row>
    <row r="37" spans="5:6" ht="14.25" customHeight="1">
      <c r="E37" s="5"/>
      <c r="F37" s="3"/>
    </row>
    <row r="38" spans="5:6" ht="14.25" customHeight="1">
      <c r="E38" s="2"/>
      <c r="F38" s="2"/>
    </row>
    <row r="39" spans="5:6" ht="14.25" customHeight="1">
      <c r="E39" s="2"/>
      <c r="F39" s="2"/>
    </row>
    <row r="40" spans="5:6" ht="14.25" customHeight="1"/>
    <row r="41" spans="5:6" ht="14.25" customHeight="1"/>
    <row r="42" spans="5:6" ht="14.25" customHeight="1"/>
    <row r="43" spans="5:6" ht="14.25" customHeight="1"/>
    <row r="44" spans="5:6" ht="14.25" customHeight="1"/>
    <row r="45" spans="5:6" ht="14.25" customHeight="1"/>
    <row r="46" spans="5:6" ht="14.25" customHeight="1"/>
    <row r="47" spans="5:6" ht="14.25" customHeight="1"/>
    <row r="48" spans="5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7558-DF8B-4C5A-B273-4E17A5FF7430}">
  <dimension ref="A1:C27"/>
  <sheetViews>
    <sheetView workbookViewId="0">
      <selection activeCell="B4" sqref="B4"/>
    </sheetView>
  </sheetViews>
  <sheetFormatPr defaultRowHeight="15"/>
  <cols>
    <col min="1" max="1" width="36" bestFit="1" customWidth="1"/>
    <col min="2" max="2" width="11.85546875" customWidth="1"/>
    <col min="3" max="3" width="14.28515625" bestFit="1" customWidth="1"/>
  </cols>
  <sheetData>
    <row r="1" spans="1:3" ht="19.5" customHeight="1">
      <c r="A1" s="81" t="s">
        <v>0</v>
      </c>
      <c r="B1" s="81" t="s">
        <v>2</v>
      </c>
      <c r="C1" s="81" t="s">
        <v>68</v>
      </c>
    </row>
    <row r="2" spans="1:3" ht="18.75" customHeight="1">
      <c r="A2" s="27" t="s">
        <v>4</v>
      </c>
      <c r="B2" s="29">
        <v>7490</v>
      </c>
      <c r="C2" s="30">
        <v>16</v>
      </c>
    </row>
    <row r="3" spans="1:3" ht="18.75" customHeight="1">
      <c r="A3" s="27" t="s">
        <v>7</v>
      </c>
      <c r="B3" s="29">
        <v>2990</v>
      </c>
      <c r="C3" s="30">
        <v>23</v>
      </c>
    </row>
    <row r="4" spans="1:3" ht="18.75" customHeight="1">
      <c r="A4" s="27" t="s">
        <v>10</v>
      </c>
      <c r="B4" s="29">
        <v>274900</v>
      </c>
      <c r="C4" s="30">
        <v>5</v>
      </c>
    </row>
    <row r="5" spans="1:3" ht="18.75" customHeight="1">
      <c r="A5" s="27" t="s">
        <v>13</v>
      </c>
      <c r="B5" s="29">
        <v>10490</v>
      </c>
      <c r="C5" s="30">
        <v>3</v>
      </c>
    </row>
    <row r="6" spans="1:3" ht="18.75" customHeight="1">
      <c r="A6" s="27" t="s">
        <v>16</v>
      </c>
      <c r="B6" s="29">
        <v>65990</v>
      </c>
      <c r="C6" s="28">
        <v>3</v>
      </c>
    </row>
    <row r="7" spans="1:3" ht="18.75" customHeight="1">
      <c r="A7" s="27" t="s">
        <v>19</v>
      </c>
      <c r="B7" s="29">
        <v>5990</v>
      </c>
      <c r="C7" s="28">
        <v>9</v>
      </c>
    </row>
    <row r="8" spans="1:3" ht="18.75" customHeight="1">
      <c r="A8" s="27" t="s">
        <v>21</v>
      </c>
      <c r="B8" s="29">
        <v>9590</v>
      </c>
      <c r="C8" s="28">
        <v>16</v>
      </c>
    </row>
    <row r="9" spans="1:3" ht="18.75" customHeight="1">
      <c r="A9" s="27" t="s">
        <v>23</v>
      </c>
      <c r="B9" s="29">
        <v>2990</v>
      </c>
      <c r="C9" s="28">
        <v>13</v>
      </c>
    </row>
    <row r="10" spans="1:3" ht="18.75" customHeight="1">
      <c r="A10" s="27" t="s">
        <v>26</v>
      </c>
      <c r="B10" s="29">
        <v>3590</v>
      </c>
      <c r="C10" s="28">
        <v>5</v>
      </c>
    </row>
    <row r="11" spans="1:3" ht="18.75" customHeight="1">
      <c r="A11" s="27" t="s">
        <v>28</v>
      </c>
      <c r="B11" s="29">
        <v>750</v>
      </c>
      <c r="C11" s="28">
        <v>12</v>
      </c>
    </row>
    <row r="12" spans="1:3" ht="18.75" customHeight="1">
      <c r="A12" s="27" t="s">
        <v>31</v>
      </c>
      <c r="B12" s="29">
        <v>3290</v>
      </c>
      <c r="C12" s="28">
        <v>7</v>
      </c>
    </row>
    <row r="13" spans="1:3" ht="18.75" customHeight="1">
      <c r="A13" s="27" t="s">
        <v>34</v>
      </c>
      <c r="B13" s="29">
        <v>1290</v>
      </c>
      <c r="C13" s="30">
        <v>16</v>
      </c>
    </row>
    <row r="14" spans="1:3" ht="18.75" customHeight="1">
      <c r="A14" s="27" t="s">
        <v>36</v>
      </c>
      <c r="B14" s="29">
        <v>99</v>
      </c>
      <c r="C14" s="30">
        <v>54</v>
      </c>
    </row>
    <row r="15" spans="1:3" ht="18.75" customHeight="1">
      <c r="A15" s="27" t="s">
        <v>39</v>
      </c>
      <c r="B15" s="29">
        <v>259</v>
      </c>
      <c r="C15" s="30">
        <v>5</v>
      </c>
    </row>
    <row r="16" spans="1:3" ht="18.75" customHeight="1">
      <c r="A16" s="27" t="s">
        <v>41</v>
      </c>
      <c r="B16" s="29">
        <v>5690</v>
      </c>
      <c r="C16" s="28">
        <v>8</v>
      </c>
    </row>
    <row r="17" spans="1:3" ht="18.75" customHeight="1">
      <c r="A17" s="27" t="s">
        <v>43</v>
      </c>
      <c r="B17" s="29">
        <v>1490</v>
      </c>
      <c r="C17" s="30">
        <v>37</v>
      </c>
    </row>
    <row r="18" spans="1:3" ht="18.75" customHeight="1">
      <c r="A18" s="27" t="s">
        <v>45</v>
      </c>
      <c r="B18" s="29">
        <v>1290</v>
      </c>
      <c r="C18" s="28">
        <v>19</v>
      </c>
    </row>
    <row r="19" spans="1:3" ht="18.75" customHeight="1">
      <c r="A19" s="27" t="s">
        <v>47</v>
      </c>
      <c r="B19" s="29">
        <v>5590</v>
      </c>
      <c r="C19" s="28">
        <v>10</v>
      </c>
    </row>
    <row r="20" spans="1:3" ht="18.75" customHeight="1">
      <c r="A20" s="27" t="s">
        <v>49</v>
      </c>
      <c r="B20" s="29">
        <v>1390</v>
      </c>
      <c r="C20" s="28">
        <v>9</v>
      </c>
    </row>
    <row r="21" spans="1:3" ht="18.75" customHeight="1">
      <c r="A21" s="27" t="s">
        <v>51</v>
      </c>
      <c r="B21" s="29">
        <v>7890</v>
      </c>
      <c r="C21" s="28">
        <v>17</v>
      </c>
    </row>
    <row r="22" spans="1:3" ht="18.75" customHeight="1">
      <c r="A22" s="27" t="s">
        <v>53</v>
      </c>
      <c r="B22" s="29">
        <v>15690</v>
      </c>
      <c r="C22" s="30">
        <v>2</v>
      </c>
    </row>
    <row r="23" spans="1:3" ht="18.75" customHeight="1">
      <c r="A23" s="27" t="s">
        <v>56</v>
      </c>
      <c r="B23" s="29">
        <v>4490</v>
      </c>
      <c r="C23" s="28">
        <v>31</v>
      </c>
    </row>
    <row r="24" spans="1:3" ht="18.75" customHeight="1">
      <c r="A24" s="27" t="s">
        <v>58</v>
      </c>
      <c r="B24" s="29">
        <v>590</v>
      </c>
      <c r="C24" s="28">
        <v>12</v>
      </c>
    </row>
    <row r="25" spans="1:3" ht="18.75" customHeight="1">
      <c r="A25" s="27" t="s">
        <v>61</v>
      </c>
      <c r="B25" s="29">
        <v>1290</v>
      </c>
      <c r="C25" s="28">
        <v>4</v>
      </c>
    </row>
    <row r="26" spans="1:3" ht="18.75" customHeight="1">
      <c r="A26" s="27" t="s">
        <v>63</v>
      </c>
      <c r="B26" s="29">
        <v>3290</v>
      </c>
      <c r="C26" s="30">
        <v>21</v>
      </c>
    </row>
    <row r="27" spans="1:3" ht="18.75" customHeight="1">
      <c r="A27" s="27" t="s">
        <v>66</v>
      </c>
      <c r="B27" s="29">
        <v>890</v>
      </c>
      <c r="C27" s="28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588F-24AC-4917-AA93-4D3643522A60}">
  <dimension ref="A1:H1000"/>
  <sheetViews>
    <sheetView workbookViewId="0">
      <selection activeCell="C17" sqref="C17"/>
    </sheetView>
  </sheetViews>
  <sheetFormatPr defaultColWidth="14.42578125" defaultRowHeight="15" customHeight="1"/>
  <cols>
    <col min="1" max="1" width="11.5703125" style="6" customWidth="1"/>
    <col min="2" max="2" width="36" customWidth="1"/>
    <col min="3" max="3" width="20.28515625" customWidth="1"/>
    <col min="4" max="4" width="13.5703125" style="22" customWidth="1"/>
    <col min="5" max="5" width="14.5703125" customWidth="1"/>
    <col min="6" max="6" width="10.42578125" customWidth="1"/>
    <col min="7" max="8" width="20.5703125" customWidth="1"/>
    <col min="9" max="26" width="15.42578125" customWidth="1"/>
  </cols>
  <sheetData>
    <row r="1" spans="1:8" ht="22.5" customHeight="1">
      <c r="A1" s="83" t="s">
        <v>3</v>
      </c>
      <c r="B1" s="83" t="s">
        <v>0</v>
      </c>
      <c r="C1" s="83" t="s">
        <v>1</v>
      </c>
      <c r="D1" s="84" t="s">
        <v>2</v>
      </c>
      <c r="E1" s="83" t="s">
        <v>68</v>
      </c>
      <c r="F1" s="16"/>
      <c r="G1" s="46" t="s">
        <v>69</v>
      </c>
      <c r="H1" s="46" t="s">
        <v>70</v>
      </c>
    </row>
    <row r="2" spans="1:8" ht="19.5" customHeight="1">
      <c r="A2" s="85" t="str">
        <f>VLOOKUP($B2,Справочник_Каталог!$A:$D,4,0)</f>
        <v>VN17-40</v>
      </c>
      <c r="B2" s="86" t="s">
        <v>4</v>
      </c>
      <c r="C2" s="85" t="str">
        <f>VLOOKUP($B2,Справочник_Каталог!$A:$D,2,0)</f>
        <v>Кресла</v>
      </c>
      <c r="D2" s="87">
        <v>7490</v>
      </c>
      <c r="E2" s="88">
        <f>VLOOKUP($B2,Продажи_исходные!$A:$C,3,0)</f>
        <v>16</v>
      </c>
      <c r="F2" s="8"/>
      <c r="G2" s="43" t="s">
        <v>71</v>
      </c>
      <c r="H2" s="62">
        <f>COUNTIF(ВПР_результат!D:D,"&lt;1000")</f>
        <v>5</v>
      </c>
    </row>
    <row r="3" spans="1:8" ht="19.5" customHeight="1">
      <c r="A3" s="85" t="str">
        <f>VLOOKUP($B3,Справочник_Каталог!$A:$D,4,0)</f>
        <v>HN47-96</v>
      </c>
      <c r="B3" s="86" t="s">
        <v>7</v>
      </c>
      <c r="C3" s="85" t="str">
        <f>VLOOKUP($B3,Справочник_Каталог!$A:$D,2,0)</f>
        <v>Текстиль</v>
      </c>
      <c r="D3" s="87">
        <v>2990</v>
      </c>
      <c r="E3" s="88">
        <f>VLOOKUP($B3,Продажи_исходные!$A:$C,3,0)</f>
        <v>23</v>
      </c>
      <c r="F3" s="8"/>
      <c r="G3" s="43" t="s">
        <v>72</v>
      </c>
      <c r="H3" s="62">
        <f>COUNTIFS(ВПР_результат!D:D,"&gt;=1000",ВПР_результат!D:D,"&lt;10000")</f>
        <v>17</v>
      </c>
    </row>
    <row r="4" spans="1:8" ht="19.5" customHeight="1">
      <c r="A4" s="85" t="str">
        <f>VLOOKUP($B4,Справочник_Каталог!$A:$D,4,0)</f>
        <v>VR75-03</v>
      </c>
      <c r="B4" s="86" t="s">
        <v>41</v>
      </c>
      <c r="C4" s="85" t="str">
        <f>VLOOKUP($B4,Справочник_Каталог!$A:$D,2,0)</f>
        <v>Декор</v>
      </c>
      <c r="D4" s="87">
        <v>5690</v>
      </c>
      <c r="E4" s="88">
        <f>VLOOKUP($B4,Продажи_исходные!$A:$C,3,0)</f>
        <v>8</v>
      </c>
      <c r="F4" s="8"/>
      <c r="G4" s="43" t="s">
        <v>73</v>
      </c>
      <c r="H4" s="62">
        <f>COUNTIFS(ВПР_результат!D:D,"&gt;=10000",ВПР_результат!D:D,"&lt;100000")</f>
        <v>3</v>
      </c>
    </row>
    <row r="5" spans="1:8" ht="19.5" customHeight="1">
      <c r="A5" s="85" t="str">
        <f>VLOOKUP($B5,Справочник_Каталог!$A:$D,4,0)</f>
        <v>OP87-04</v>
      </c>
      <c r="B5" s="86" t="s">
        <v>43</v>
      </c>
      <c r="C5" s="85" t="str">
        <f>VLOOKUP($B5,Справочник_Каталог!$A:$D,2,0)</f>
        <v>Декор</v>
      </c>
      <c r="D5" s="87">
        <v>1490</v>
      </c>
      <c r="E5" s="88">
        <f>VLOOKUP($B5,Продажи_исходные!$A:$C,3,0)</f>
        <v>37</v>
      </c>
      <c r="F5" s="8"/>
      <c r="G5" s="43" t="s">
        <v>74</v>
      </c>
      <c r="H5" s="82">
        <f>COUNTIF(ВПР_результат!D:D,"&gt;=100000")</f>
        <v>1</v>
      </c>
    </row>
    <row r="6" spans="1:8" ht="19.5" customHeight="1">
      <c r="A6" s="85" t="str">
        <f>VLOOKUP($B6,Справочник_Каталог!$A:$D,4,0)</f>
        <v>DN45-68</v>
      </c>
      <c r="B6" s="86" t="s">
        <v>10</v>
      </c>
      <c r="C6" s="85" t="str">
        <f>VLOOKUP($B6,Справочник_Каталог!$A:$D,2,0)</f>
        <v>Кухня</v>
      </c>
      <c r="D6" s="87">
        <v>274900</v>
      </c>
      <c r="E6" s="88">
        <f>VLOOKUP($B6,Продажи_исходные!$A:$C,3,0)</f>
        <v>5</v>
      </c>
      <c r="F6" s="8"/>
      <c r="G6" s="80"/>
      <c r="H6" s="79"/>
    </row>
    <row r="7" spans="1:8" ht="19.5" customHeight="1">
      <c r="A7" s="85" t="str">
        <f>VLOOKUP($B7,Справочник_Каталог!$A:$D,4,0)</f>
        <v>BE65-00</v>
      </c>
      <c r="B7" s="86" t="s">
        <v>13</v>
      </c>
      <c r="C7" s="85" t="str">
        <f>VLOOKUP($B7,Справочник_Каталог!$A:$D,2,0)</f>
        <v>Столы</v>
      </c>
      <c r="D7" s="87">
        <v>10490</v>
      </c>
      <c r="E7" s="88">
        <f>VLOOKUP($B7,Продажи_исходные!$A:$C,3,0)</f>
        <v>3</v>
      </c>
      <c r="F7" s="8"/>
      <c r="G7" s="10"/>
    </row>
    <row r="8" spans="1:8" ht="19.5" customHeight="1">
      <c r="A8" s="85" t="str">
        <f>VLOOKUP($B8,Справочник_Каталог!$A:$D,4,0)</f>
        <v>WP25-38</v>
      </c>
      <c r="B8" s="86" t="s">
        <v>63</v>
      </c>
      <c r="C8" s="85" t="str">
        <f>VLOOKUP($B8,Справочник_Каталог!$A:$D,2,0)</f>
        <v>Свет</v>
      </c>
      <c r="D8" s="87">
        <v>3290</v>
      </c>
      <c r="E8" s="88">
        <f>VLOOKUP($B8,Продажи_исходные!$A:$C,3,0)</f>
        <v>21</v>
      </c>
      <c r="F8" s="8"/>
      <c r="G8" s="10"/>
    </row>
    <row r="9" spans="1:8" ht="19.5" customHeight="1">
      <c r="A9" s="85" t="str">
        <f>VLOOKUP($B9,Справочник_Каталог!$A:$D,4,0)</f>
        <v>MI56-74</v>
      </c>
      <c r="B9" s="86" t="s">
        <v>34</v>
      </c>
      <c r="C9" s="85" t="str">
        <f>VLOOKUP($B9,Справочник_Каталог!$A:$D,2,0)</f>
        <v>Текстиль</v>
      </c>
      <c r="D9" s="87">
        <v>1290</v>
      </c>
      <c r="E9" s="88">
        <f>VLOOKUP($B9,Продажи_исходные!$A:$C,3,0)</f>
        <v>16</v>
      </c>
      <c r="F9" s="8"/>
      <c r="G9" s="10"/>
    </row>
    <row r="10" spans="1:8" ht="19.5" customHeight="1">
      <c r="A10" s="85" t="str">
        <f>VLOOKUP($B10,Справочник_Каталог!$A:$D,4,0)</f>
        <v>VU50-74</v>
      </c>
      <c r="B10" s="86" t="s">
        <v>36</v>
      </c>
      <c r="C10" s="85" t="str">
        <f>VLOOKUP($B10,Справочник_Каталог!$A:$D,2,0)</f>
        <v>Фурнитура</v>
      </c>
      <c r="D10" s="87">
        <v>99</v>
      </c>
      <c r="E10" s="88">
        <f>VLOOKUP($B10,Продажи_исходные!$A:$C,3,0)</f>
        <v>54</v>
      </c>
      <c r="F10" s="8"/>
      <c r="G10" s="10"/>
    </row>
    <row r="11" spans="1:8" ht="19.5" customHeight="1">
      <c r="A11" s="85" t="str">
        <f>VLOOKUP($B11,Справочник_Каталог!$A:$D,4,0)</f>
        <v>FY33-47</v>
      </c>
      <c r="B11" s="86" t="s">
        <v>39</v>
      </c>
      <c r="C11" s="85" t="str">
        <f>VLOOKUP($B11,Справочник_Каталог!$A:$D,2,0)</f>
        <v>Фурнитура</v>
      </c>
      <c r="D11" s="87">
        <v>259</v>
      </c>
      <c r="E11" s="88">
        <f>VLOOKUP($B11,Продажи_исходные!$A:$C,3,0)</f>
        <v>5</v>
      </c>
      <c r="F11" s="8"/>
      <c r="G11" s="10"/>
    </row>
    <row r="12" spans="1:8" ht="19.5" customHeight="1">
      <c r="A12" s="85" t="str">
        <f>VLOOKUP($B12,Справочник_Каталог!$A:$D,4,0)</f>
        <v>DP86-95</v>
      </c>
      <c r="B12" s="86" t="s">
        <v>53</v>
      </c>
      <c r="C12" s="85" t="str">
        <f>VLOOKUP($B12,Справочник_Каталог!$A:$D,2,0)</f>
        <v>Ванны</v>
      </c>
      <c r="D12" s="87">
        <v>15690</v>
      </c>
      <c r="E12" s="88">
        <f>VLOOKUP($B12,Продажи_исходные!$A:$C,3,0)</f>
        <v>2</v>
      </c>
      <c r="F12" s="8"/>
      <c r="G12" s="10"/>
    </row>
    <row r="13" spans="1:8" ht="19.5" customHeight="1">
      <c r="A13" s="85" t="str">
        <f>VLOOKUP($B13,Справочник_Каталог!$A:$D,4,0)</f>
        <v>KO35-95</v>
      </c>
      <c r="B13" s="86" t="s">
        <v>56</v>
      </c>
      <c r="C13" s="85" t="str">
        <f>VLOOKUP($B13,Справочник_Каталог!$A:$D,2,0)</f>
        <v>Фурнитура</v>
      </c>
      <c r="D13" s="87">
        <v>4490</v>
      </c>
      <c r="E13" s="88">
        <f>VLOOKUP($B13,Продажи_исходные!$A:$C,3,0)</f>
        <v>31</v>
      </c>
      <c r="F13" s="8"/>
      <c r="G13" s="10"/>
    </row>
    <row r="14" spans="1:8" ht="19.5" customHeight="1">
      <c r="A14" s="85" t="str">
        <f>VLOOKUP($B14,Справочник_Каталог!$A:$D,4,0)</f>
        <v>VT65-74</v>
      </c>
      <c r="B14" s="86" t="s">
        <v>58</v>
      </c>
      <c r="C14" s="85" t="str">
        <f>VLOOKUP($B14,Справочник_Каталог!$A:$D,2,0)</f>
        <v>Мебель</v>
      </c>
      <c r="D14" s="87">
        <v>590</v>
      </c>
      <c r="E14" s="88">
        <f>VLOOKUP($B14,Продажи_исходные!$A:$C,3,0)</f>
        <v>12</v>
      </c>
      <c r="F14" s="8"/>
      <c r="G14" s="10"/>
    </row>
    <row r="15" spans="1:8" ht="19.5" customHeight="1">
      <c r="A15" s="85" t="str">
        <f>VLOOKUP($B15,Справочник_Каталог!$A:$D,4,0)</f>
        <v>FP86-07</v>
      </c>
      <c r="B15" s="86" t="s">
        <v>66</v>
      </c>
      <c r="C15" s="85" t="str">
        <f>VLOOKUP($B15,Справочник_Каталог!$A:$D,2,0)</f>
        <v>Свет</v>
      </c>
      <c r="D15" s="87">
        <v>890</v>
      </c>
      <c r="E15" s="88">
        <f>VLOOKUP($B15,Продажи_исходные!$A:$C,3,0)</f>
        <v>26</v>
      </c>
      <c r="F15" s="8"/>
      <c r="G15" s="10"/>
    </row>
    <row r="16" spans="1:8" ht="19.5" customHeight="1">
      <c r="A16" s="85" t="str">
        <f>VLOOKUP($B16,Справочник_Каталог!$A:$D,4,0)</f>
        <v>WM32-27</v>
      </c>
      <c r="B16" s="86" t="s">
        <v>49</v>
      </c>
      <c r="C16" s="85" t="str">
        <f>VLOOKUP($B16,Справочник_Каталог!$A:$D,2,0)</f>
        <v>Стеллажи</v>
      </c>
      <c r="D16" s="87">
        <v>1390</v>
      </c>
      <c r="E16" s="88">
        <f>VLOOKUP($B16,Продажи_исходные!$A:$C,3,0)</f>
        <v>9</v>
      </c>
      <c r="F16" s="10"/>
      <c r="G16" s="10"/>
    </row>
    <row r="17" spans="1:7" ht="19.5" customHeight="1">
      <c r="A17" s="85" t="str">
        <f>VLOOKUP($B17,Справочник_Каталог!$A:$D,4,0)</f>
        <v>YT76-80</v>
      </c>
      <c r="B17" s="86" t="s">
        <v>61</v>
      </c>
      <c r="C17" s="85" t="str">
        <f>VLOOKUP($B17,Справочник_Каталог!$A:$D,2,0)</f>
        <v>Декор</v>
      </c>
      <c r="D17" s="87">
        <v>1290</v>
      </c>
      <c r="E17" s="88">
        <f>VLOOKUP($B17,Продажи_исходные!$A:$C,3,0)</f>
        <v>4</v>
      </c>
      <c r="F17" s="10"/>
      <c r="G17" s="10"/>
    </row>
    <row r="18" spans="1:7" ht="19.5" customHeight="1">
      <c r="A18" s="85" t="str">
        <f>VLOOKUP($B18,Справочник_Каталог!$A:$D,4,0)</f>
        <v>EP65-84</v>
      </c>
      <c r="B18" s="86" t="s">
        <v>45</v>
      </c>
      <c r="C18" s="85" t="str">
        <f>VLOOKUP($B18,Справочник_Каталог!$A:$D,2,0)</f>
        <v>Текстиль</v>
      </c>
      <c r="D18" s="87">
        <v>1290</v>
      </c>
      <c r="E18" s="88">
        <f>VLOOKUP($B18,Продажи_исходные!$A:$C,3,0)</f>
        <v>19</v>
      </c>
      <c r="F18" s="10"/>
      <c r="G18" s="10"/>
    </row>
    <row r="19" spans="1:7" ht="19.5" customHeight="1">
      <c r="A19" s="85" t="str">
        <f>VLOOKUP($B19,Справочник_Каталог!$A:$D,4,0)</f>
        <v>NF49-06</v>
      </c>
      <c r="B19" s="86" t="s">
        <v>47</v>
      </c>
      <c r="C19" s="85" t="str">
        <f>VLOOKUP($B19,Справочник_Каталог!$A:$D,2,0)</f>
        <v>Шкафы и комоды</v>
      </c>
      <c r="D19" s="87">
        <v>5590</v>
      </c>
      <c r="E19" s="88">
        <f>VLOOKUP($B19,Продажи_исходные!$A:$C,3,0)</f>
        <v>10</v>
      </c>
      <c r="F19" s="10"/>
      <c r="G19" s="10"/>
    </row>
    <row r="20" spans="1:7" ht="19.5" customHeight="1">
      <c r="A20" s="85" t="str">
        <f>VLOOKUP($B20,Справочник_Каталог!$A:$D,4,0)</f>
        <v>RT65-07</v>
      </c>
      <c r="B20" s="86" t="s">
        <v>31</v>
      </c>
      <c r="C20" s="85" t="str">
        <f>VLOOKUP($B20,Справочник_Каталог!$A:$D,2,0)</f>
        <v>Шкафы и комоды</v>
      </c>
      <c r="D20" s="87">
        <v>3290</v>
      </c>
      <c r="E20" s="88">
        <f>VLOOKUP($B20,Продажи_исходные!$A:$C,3,0)</f>
        <v>7</v>
      </c>
      <c r="F20" s="10"/>
      <c r="G20" s="10"/>
    </row>
    <row r="21" spans="1:7" ht="19.5" customHeight="1">
      <c r="A21" s="85" t="str">
        <f>VLOOKUP($B21,Справочник_Каталог!$A:$D,4,0)</f>
        <v>DE86-95</v>
      </c>
      <c r="B21" s="86" t="s">
        <v>51</v>
      </c>
      <c r="C21" s="85" t="str">
        <f>VLOOKUP($B21,Справочник_Каталог!$A:$D,2,0)</f>
        <v>Декор</v>
      </c>
      <c r="D21" s="87">
        <v>7890</v>
      </c>
      <c r="E21" s="88">
        <f>VLOOKUP($B21,Продажи_исходные!$A:$C,3,0)</f>
        <v>17</v>
      </c>
      <c r="F21" s="10"/>
      <c r="G21" s="10"/>
    </row>
    <row r="22" spans="1:7" ht="19.5" customHeight="1">
      <c r="A22" s="85" t="str">
        <f>VLOOKUP($B22,Справочник_Каталог!$A:$D,4,0)</f>
        <v>DF45-08</v>
      </c>
      <c r="B22" s="86" t="s">
        <v>16</v>
      </c>
      <c r="C22" s="85" t="str">
        <f>VLOOKUP($B22,Справочник_Каталог!$A:$D,2,0)</f>
        <v>Диваны</v>
      </c>
      <c r="D22" s="87">
        <v>65990</v>
      </c>
      <c r="E22" s="88">
        <f>VLOOKUP($B22,Продажи_исходные!$A:$C,3,0)</f>
        <v>3</v>
      </c>
      <c r="F22" s="10"/>
      <c r="G22" s="10"/>
    </row>
    <row r="23" spans="1:7" ht="19.5" customHeight="1">
      <c r="A23" s="85" t="str">
        <f>VLOOKUP($B23,Справочник_Каталог!$A:$D,4,0)</f>
        <v>BY65-24</v>
      </c>
      <c r="B23" s="86" t="s">
        <v>19</v>
      </c>
      <c r="C23" s="85" t="str">
        <f>VLOOKUP($B23,Справочник_Каталог!$A:$D,2,0)</f>
        <v>Столы</v>
      </c>
      <c r="D23" s="87">
        <v>5990</v>
      </c>
      <c r="E23" s="88">
        <f>VLOOKUP($B23,Продажи_исходные!$A:$C,3,0)</f>
        <v>9</v>
      </c>
      <c r="F23" s="10"/>
      <c r="G23" s="10"/>
    </row>
    <row r="24" spans="1:7" ht="19.5" customHeight="1">
      <c r="A24" s="85" t="str">
        <f>VLOOKUP($B24,Справочник_Каталог!$A:$D,4,0)</f>
        <v>WE25-48</v>
      </c>
      <c r="B24" s="86" t="s">
        <v>21</v>
      </c>
      <c r="C24" s="85" t="str">
        <f>VLOOKUP($B24,Справочник_Каталог!$A:$D,2,0)</f>
        <v>Столы</v>
      </c>
      <c r="D24" s="87">
        <v>9590</v>
      </c>
      <c r="E24" s="88">
        <f>VLOOKUP($B24,Продажи_исходные!$A:$C,3,0)</f>
        <v>16</v>
      </c>
      <c r="F24" s="10"/>
      <c r="G24" s="10"/>
    </row>
    <row r="25" spans="1:7" ht="19.5" customHeight="1">
      <c r="A25" s="85" t="str">
        <f>VLOOKUP($B25,Справочник_Каталог!$A:$D,4,0)</f>
        <v>MN56-32</v>
      </c>
      <c r="B25" s="86" t="s">
        <v>23</v>
      </c>
      <c r="C25" s="85" t="str">
        <f>VLOOKUP($B25,Справочник_Каталог!$A:$D,2,0)</f>
        <v>Стеллажи</v>
      </c>
      <c r="D25" s="87">
        <v>2990</v>
      </c>
      <c r="E25" s="88">
        <f>VLOOKUP($B25,Продажи_исходные!$A:$C,3,0)</f>
        <v>13</v>
      </c>
      <c r="F25" s="10"/>
      <c r="G25" s="10"/>
    </row>
    <row r="26" spans="1:7" ht="19.5" customHeight="1">
      <c r="A26" s="85" t="str">
        <f>VLOOKUP($B26,Справочник_Каталог!$A:$D,4,0)</f>
        <v>KE35-92</v>
      </c>
      <c r="B26" s="86" t="s">
        <v>26</v>
      </c>
      <c r="C26" s="85" t="str">
        <f>VLOOKUP($B26,Справочник_Каталог!$A:$D,2,0)</f>
        <v>Столы</v>
      </c>
      <c r="D26" s="87">
        <v>3590</v>
      </c>
      <c r="E26" s="88">
        <f>VLOOKUP($B26,Продажи_исходные!$A:$C,3,0)</f>
        <v>5</v>
      </c>
      <c r="F26" s="10"/>
      <c r="G26" s="10"/>
    </row>
    <row r="27" spans="1:7" ht="19.5" customHeight="1">
      <c r="A27" s="85" t="str">
        <f>VLOOKUP($B27,Справочник_Каталог!$A:$D,4,0)</f>
        <v>VO65-25</v>
      </c>
      <c r="B27" s="86" t="s">
        <v>28</v>
      </c>
      <c r="C27" s="85" t="str">
        <f>VLOOKUP($B27,Справочник_Каталог!$A:$D,2,0)</f>
        <v>Декор</v>
      </c>
      <c r="D27" s="87">
        <v>750</v>
      </c>
      <c r="E27" s="88">
        <f>VLOOKUP($B27,Продажи_исходные!$A:$C,3,0)</f>
        <v>12</v>
      </c>
      <c r="F27" s="10"/>
      <c r="G27" s="10"/>
    </row>
    <row r="28" spans="1:7" ht="14.25" customHeight="1">
      <c r="A28" s="15"/>
      <c r="B28" s="16"/>
      <c r="C28" s="7"/>
      <c r="D28" s="19"/>
      <c r="E28" s="7"/>
      <c r="F28" s="10"/>
      <c r="G28" s="10"/>
    </row>
    <row r="29" spans="1:7" ht="14.25" customHeight="1">
      <c r="A29" s="17"/>
      <c r="B29" s="10"/>
      <c r="C29" s="17"/>
      <c r="D29" s="20"/>
      <c r="E29" s="17"/>
      <c r="F29" s="10"/>
    </row>
    <row r="30" spans="1:7" ht="14.25" customHeight="1">
      <c r="A30" s="17"/>
      <c r="B30" s="10"/>
      <c r="C30" s="17"/>
      <c r="D30" s="20"/>
      <c r="E30" s="17"/>
      <c r="F30" s="10"/>
    </row>
    <row r="31" spans="1:7" ht="14.25" customHeight="1">
      <c r="A31" s="18"/>
      <c r="B31" s="10"/>
      <c r="C31" s="17"/>
      <c r="D31" s="20"/>
      <c r="E31" s="17"/>
      <c r="F31" s="10"/>
    </row>
    <row r="32" spans="1:7" ht="14.25" customHeight="1">
      <c r="A32" s="18"/>
      <c r="B32" s="10"/>
      <c r="C32" s="10"/>
      <c r="D32" s="21"/>
      <c r="E32" s="10"/>
      <c r="F32" s="10"/>
    </row>
    <row r="33" spans="1:6" ht="14.25" customHeight="1">
      <c r="A33" s="18"/>
      <c r="B33" s="10"/>
      <c r="C33" s="10"/>
      <c r="D33" s="21"/>
      <c r="E33" s="10"/>
      <c r="F33" s="10"/>
    </row>
    <row r="34" spans="1:6" ht="14.25" customHeight="1">
      <c r="A34" s="18"/>
      <c r="B34" s="10"/>
      <c r="C34" s="10"/>
      <c r="D34" s="21"/>
      <c r="E34" s="10"/>
      <c r="F34" s="10"/>
    </row>
    <row r="35" spans="1:6" ht="14.25" customHeight="1"/>
    <row r="36" spans="1:6" ht="14.25" customHeight="1"/>
    <row r="37" spans="1:6" ht="14.25" customHeight="1"/>
    <row r="38" spans="1:6" ht="14.25" customHeight="1"/>
    <row r="39" spans="1:6" ht="14.25" customHeight="1"/>
    <row r="40" spans="1:6" ht="14.25" customHeight="1"/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C2:C1048575">
    <sortCondition ref="C2:C1048575"/>
  </sortState>
  <pageMargins left="0.7" right="0.7" top="0.75" bottom="0.75" header="0" footer="0"/>
  <pageSetup orientation="landscape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A58B-73A0-45C1-BFDA-8633D55595CB}">
  <dimension ref="A1:J73"/>
  <sheetViews>
    <sheetView workbookViewId="0">
      <selection activeCell="I1" sqref="I1"/>
    </sheetView>
  </sheetViews>
  <sheetFormatPr defaultColWidth="9.140625" defaultRowHeight="15" outlineLevelRow="1"/>
  <cols>
    <col min="1" max="1" width="10.42578125" style="1" customWidth="1"/>
    <col min="2" max="2" width="33.140625" style="1" customWidth="1" collapsed="1"/>
    <col min="3" max="3" width="18.42578125" style="1" bestFit="1" customWidth="1"/>
    <col min="4" max="4" width="10.5703125" style="23" bestFit="1" customWidth="1"/>
    <col min="5" max="5" width="13" style="1" bestFit="1" customWidth="1"/>
    <col min="6" max="6" width="15.7109375" style="1" bestFit="1" customWidth="1"/>
    <col min="7" max="7" width="37.140625" style="1" customWidth="1"/>
    <col min="8" max="8" width="17.140625" style="1" bestFit="1" customWidth="1"/>
    <col min="9" max="16384" width="9.140625" style="1"/>
  </cols>
  <sheetData>
    <row r="1" spans="1:10" ht="29.25" customHeight="1">
      <c r="A1" s="48" t="s">
        <v>3</v>
      </c>
      <c r="B1" s="48" t="s">
        <v>0</v>
      </c>
      <c r="C1" s="48" t="s">
        <v>1</v>
      </c>
      <c r="D1" s="49" t="s">
        <v>2</v>
      </c>
      <c r="E1" s="48" t="s">
        <v>68</v>
      </c>
      <c r="F1" s="48" t="s">
        <v>75</v>
      </c>
      <c r="G1" s="27"/>
      <c r="H1" s="32"/>
      <c r="I1" s="32"/>
      <c r="J1" s="32"/>
    </row>
    <row r="2" spans="1:10" ht="18" customHeight="1" outlineLevel="1">
      <c r="A2" s="28" t="str">
        <f>VLOOKUP($B2,Справочник_Каталог!$A:$D,4,0)</f>
        <v>DP86-95</v>
      </c>
      <c r="B2" s="27" t="s">
        <v>53</v>
      </c>
      <c r="C2" s="28" t="str">
        <f>VLOOKUP($B2,Справочник_Каталог!$A:$D,2,0)</f>
        <v>Ванны</v>
      </c>
      <c r="D2" s="31">
        <v>15690</v>
      </c>
      <c r="E2" s="30">
        <f>VLOOKUP($B2,Продажи_исходные!$A:$C,3,0)</f>
        <v>2</v>
      </c>
      <c r="F2" s="50">
        <f>D2*E2</f>
        <v>31380</v>
      </c>
      <c r="G2" s="27"/>
      <c r="H2" s="27"/>
      <c r="I2" s="32"/>
      <c r="J2" s="32"/>
    </row>
    <row r="3" spans="1:10" ht="18" customHeight="1" outlineLevel="1">
      <c r="A3" s="27"/>
      <c r="B3" s="27"/>
      <c r="C3" s="27"/>
      <c r="D3" s="51"/>
      <c r="E3" s="27"/>
      <c r="F3" s="27"/>
      <c r="G3" s="52" t="s">
        <v>76</v>
      </c>
      <c r="H3" s="53">
        <f>SUMIF(C:C,"Ванны",F:F)</f>
        <v>31380</v>
      </c>
      <c r="I3" s="32"/>
      <c r="J3" s="32"/>
    </row>
    <row r="4" spans="1:10" ht="18" customHeight="1">
      <c r="A4" s="27"/>
      <c r="B4" s="27"/>
      <c r="C4" s="27"/>
      <c r="D4" s="51"/>
      <c r="E4" s="27"/>
      <c r="F4" s="27"/>
      <c r="G4" s="27"/>
      <c r="H4" s="72"/>
      <c r="I4" s="32"/>
      <c r="J4" s="32"/>
    </row>
    <row r="5" spans="1:10" ht="18" customHeight="1" outlineLevel="1">
      <c r="A5" s="28" t="str">
        <f>VLOOKUP($B5,Справочник_Каталог!$A:$D,4,0)</f>
        <v>VR75-03</v>
      </c>
      <c r="B5" s="27" t="s">
        <v>41</v>
      </c>
      <c r="C5" s="28" t="str">
        <f>VLOOKUP($B5,Справочник_Каталог!$A:$D,2,0)</f>
        <v>Декор</v>
      </c>
      <c r="D5" s="31">
        <v>5690</v>
      </c>
      <c r="E5" s="30">
        <f>VLOOKUP($B5,Продажи_исходные!$A:$C,3,0)</f>
        <v>8</v>
      </c>
      <c r="F5" s="50">
        <f>D5*E5</f>
        <v>45520</v>
      </c>
      <c r="G5" s="27"/>
      <c r="H5" s="32"/>
      <c r="I5" s="32"/>
      <c r="J5" s="32"/>
    </row>
    <row r="6" spans="1:10" ht="18" customHeight="1" outlineLevel="1">
      <c r="A6" s="28" t="str">
        <f>VLOOKUP($B6,Справочник_Каталог!$A:$D,4,0)</f>
        <v>OP87-04</v>
      </c>
      <c r="B6" s="27" t="s">
        <v>43</v>
      </c>
      <c r="C6" s="28" t="str">
        <f>VLOOKUP($B6,Справочник_Каталог!$A:$D,2,0)</f>
        <v>Декор</v>
      </c>
      <c r="D6" s="31">
        <v>1490</v>
      </c>
      <c r="E6" s="30">
        <f>VLOOKUP($B6,Продажи_исходные!$A:$C,3,0)</f>
        <v>37</v>
      </c>
      <c r="F6" s="50">
        <f t="shared" ref="F6:F9" si="0">D6*E6</f>
        <v>55130</v>
      </c>
      <c r="G6" s="27"/>
      <c r="H6" s="32"/>
      <c r="I6" s="32"/>
      <c r="J6" s="32"/>
    </row>
    <row r="7" spans="1:10" ht="18" customHeight="1" outlineLevel="1">
      <c r="A7" s="28" t="str">
        <f>VLOOKUP($B7,Справочник_Каталог!$A:$D,4,0)</f>
        <v>YT76-80</v>
      </c>
      <c r="B7" s="27" t="s">
        <v>61</v>
      </c>
      <c r="C7" s="28" t="str">
        <f>VLOOKUP($B7,Справочник_Каталог!$A:$D,2,0)</f>
        <v>Декор</v>
      </c>
      <c r="D7" s="31">
        <v>1290</v>
      </c>
      <c r="E7" s="30">
        <f>VLOOKUP($B7,Продажи_исходные!$A:$C,3,0)</f>
        <v>4</v>
      </c>
      <c r="F7" s="50">
        <f t="shared" si="0"/>
        <v>5160</v>
      </c>
      <c r="G7" s="27"/>
      <c r="H7" s="32"/>
      <c r="I7" s="32"/>
      <c r="J7" s="32"/>
    </row>
    <row r="8" spans="1:10" ht="18" customHeight="1" outlineLevel="1">
      <c r="A8" s="28" t="str">
        <f>VLOOKUP($B8,Справочник_Каталог!$A:$D,4,0)</f>
        <v>DE86-95</v>
      </c>
      <c r="B8" s="27" t="s">
        <v>51</v>
      </c>
      <c r="C8" s="28" t="str">
        <f>VLOOKUP($B8,Справочник_Каталог!$A:$D,2,0)</f>
        <v>Декор</v>
      </c>
      <c r="D8" s="31">
        <v>7890</v>
      </c>
      <c r="E8" s="30">
        <f>VLOOKUP($B8,Продажи_исходные!$A:$C,3,0)</f>
        <v>17</v>
      </c>
      <c r="F8" s="50">
        <f t="shared" si="0"/>
        <v>134130</v>
      </c>
      <c r="G8" s="27"/>
      <c r="H8" s="32"/>
      <c r="I8" s="32"/>
      <c r="J8" s="32"/>
    </row>
    <row r="9" spans="1:10" ht="18" customHeight="1" outlineLevel="1">
      <c r="A9" s="28" t="str">
        <f>VLOOKUP($B9,Справочник_Каталог!$A:$D,4,0)</f>
        <v>VO65-25</v>
      </c>
      <c r="B9" s="27" t="s">
        <v>28</v>
      </c>
      <c r="C9" s="28" t="str">
        <f>VLOOKUP($B9,Справочник_Каталог!$A:$D,2,0)</f>
        <v>Декор</v>
      </c>
      <c r="D9" s="31">
        <v>750</v>
      </c>
      <c r="E9" s="30">
        <f>VLOOKUP($B9,Продажи_исходные!$A:$C,3,0)</f>
        <v>12</v>
      </c>
      <c r="F9" s="50">
        <f t="shared" si="0"/>
        <v>9000</v>
      </c>
      <c r="G9" s="27"/>
      <c r="H9" s="32"/>
      <c r="I9" s="32"/>
      <c r="J9" s="32"/>
    </row>
    <row r="10" spans="1:10" ht="18" customHeight="1" outlineLevel="1">
      <c r="A10" s="27"/>
      <c r="B10" s="27"/>
      <c r="C10" s="27"/>
      <c r="D10" s="51"/>
      <c r="E10" s="27"/>
      <c r="F10" s="27"/>
      <c r="G10" s="27" t="s">
        <v>76</v>
      </c>
      <c r="H10" s="54">
        <f>SUMIF(C:C,"Декор",F:F)</f>
        <v>248940</v>
      </c>
      <c r="I10" s="32"/>
      <c r="J10" s="32"/>
    </row>
    <row r="11" spans="1:10" ht="32.25" customHeight="1" outlineLevel="1">
      <c r="A11" s="27"/>
      <c r="B11" s="27"/>
      <c r="C11" s="27"/>
      <c r="D11" s="51"/>
      <c r="E11" s="27"/>
      <c r="F11" s="27"/>
      <c r="G11" s="55" t="s">
        <v>77</v>
      </c>
      <c r="H11" s="32">
        <f>COUNTIF(C:C,"Декор")</f>
        <v>5</v>
      </c>
      <c r="I11" s="32"/>
      <c r="J11" s="32"/>
    </row>
    <row r="12" spans="1:10" ht="32.25" customHeight="1" outlineLevel="1">
      <c r="A12" s="27"/>
      <c r="B12" s="27"/>
      <c r="C12" s="27"/>
      <c r="D12" s="51"/>
      <c r="E12" s="27"/>
      <c r="F12" s="27"/>
      <c r="G12" s="56" t="s">
        <v>78</v>
      </c>
      <c r="H12" s="56">
        <f>SUMIFS(E:E,C:C,"Декор",D:D,"&gt;1500",D:D,"&lt;8000")</f>
        <v>25</v>
      </c>
      <c r="I12" s="32"/>
      <c r="J12" s="32"/>
    </row>
    <row r="13" spans="1:10" ht="15.75" customHeight="1">
      <c r="A13" s="27"/>
      <c r="B13" s="27"/>
      <c r="C13" s="27"/>
      <c r="D13" s="51"/>
      <c r="E13" s="27"/>
      <c r="F13" s="27"/>
      <c r="G13" s="55"/>
      <c r="H13" s="55"/>
      <c r="I13" s="32"/>
      <c r="J13" s="32"/>
    </row>
    <row r="14" spans="1:10" ht="18" customHeight="1" outlineLevel="1">
      <c r="A14" s="28" t="str">
        <f>VLOOKUP($B14,Справочник_Каталог!$A:$D,4,0)</f>
        <v>DF45-08</v>
      </c>
      <c r="B14" s="27" t="s">
        <v>16</v>
      </c>
      <c r="C14" s="28" t="str">
        <f>VLOOKUP($B14,Справочник_Каталог!$A:$D,2,0)</f>
        <v>Диваны</v>
      </c>
      <c r="D14" s="31">
        <v>65990</v>
      </c>
      <c r="E14" s="30">
        <f>VLOOKUP($B14,Продажи_исходные!$A:$C,3,0)</f>
        <v>3</v>
      </c>
      <c r="F14" s="50">
        <f>D14*E14</f>
        <v>197970</v>
      </c>
      <c r="G14" s="27"/>
      <c r="H14" s="32"/>
      <c r="I14" s="32"/>
      <c r="J14" s="32"/>
    </row>
    <row r="15" spans="1:10" ht="18" customHeight="1">
      <c r="A15" s="27"/>
      <c r="B15" s="27"/>
      <c r="C15" s="27"/>
      <c r="D15" s="51"/>
      <c r="E15" s="27"/>
      <c r="F15" s="50"/>
      <c r="G15" s="52" t="s">
        <v>76</v>
      </c>
      <c r="H15" s="53">
        <f>SUMIF(C:C,"Диваны",F:F)</f>
        <v>197970</v>
      </c>
      <c r="I15" s="32"/>
      <c r="J15" s="32"/>
    </row>
    <row r="16" spans="1:10" ht="18" customHeight="1">
      <c r="A16" s="27"/>
      <c r="B16" s="27"/>
      <c r="C16" s="27"/>
      <c r="D16" s="51"/>
      <c r="E16" s="27"/>
      <c r="F16" s="50"/>
      <c r="G16" s="27"/>
      <c r="H16" s="72"/>
      <c r="I16" s="32"/>
      <c r="J16" s="32"/>
    </row>
    <row r="17" spans="1:10" ht="18" customHeight="1" outlineLevel="1">
      <c r="A17" s="28" t="str">
        <f>VLOOKUP($B17,Справочник_Каталог!$A:$D,4,0)</f>
        <v>VN17-40</v>
      </c>
      <c r="B17" s="27" t="s">
        <v>4</v>
      </c>
      <c r="C17" s="28" t="str">
        <f>VLOOKUP($B17,Справочник_Каталог!$A:$D,2,0)</f>
        <v>Кресла</v>
      </c>
      <c r="D17" s="31">
        <v>7490</v>
      </c>
      <c r="E17" s="30">
        <f>VLOOKUP($B17,Продажи_исходные!$A:$C,3,0)</f>
        <v>16</v>
      </c>
      <c r="F17" s="50">
        <f>D17*E17</f>
        <v>119840</v>
      </c>
      <c r="G17" s="27"/>
      <c r="H17" s="32"/>
      <c r="I17" s="32"/>
      <c r="J17" s="32"/>
    </row>
    <row r="18" spans="1:10" ht="18" customHeight="1">
      <c r="A18" s="27"/>
      <c r="B18" s="27"/>
      <c r="C18" s="27"/>
      <c r="D18" s="51"/>
      <c r="E18" s="27"/>
      <c r="F18" s="50"/>
      <c r="G18" s="52" t="s">
        <v>76</v>
      </c>
      <c r="H18" s="53">
        <f>SUMIF(C:C,"Кресла",F:F)</f>
        <v>119840</v>
      </c>
      <c r="I18" s="32"/>
      <c r="J18" s="32"/>
    </row>
    <row r="19" spans="1:10" ht="18" customHeight="1">
      <c r="A19" s="27"/>
      <c r="B19" s="27"/>
      <c r="C19" s="27"/>
      <c r="D19" s="51"/>
      <c r="E19" s="27"/>
      <c r="F19" s="50"/>
      <c r="G19" s="27"/>
      <c r="H19" s="72"/>
      <c r="I19" s="32"/>
      <c r="J19" s="32"/>
    </row>
    <row r="20" spans="1:10" ht="18" customHeight="1" outlineLevel="1">
      <c r="A20" s="28" t="str">
        <f>VLOOKUP($B20,Справочник_Каталог!$A:$D,4,0)</f>
        <v>DN45-68</v>
      </c>
      <c r="B20" s="27" t="s">
        <v>10</v>
      </c>
      <c r="C20" s="28" t="str">
        <f>VLOOKUP($B20,Справочник_Каталог!$A:$D,2,0)</f>
        <v>Кухня</v>
      </c>
      <c r="D20" s="31">
        <v>274900</v>
      </c>
      <c r="E20" s="30">
        <f>VLOOKUP($B20,Продажи_исходные!$A:$C,3,0)</f>
        <v>5</v>
      </c>
      <c r="F20" s="50">
        <f>D20*E20</f>
        <v>1374500</v>
      </c>
      <c r="G20" s="27"/>
      <c r="H20" s="32"/>
      <c r="I20" s="32"/>
      <c r="J20" s="32"/>
    </row>
    <row r="21" spans="1:10" ht="18" customHeight="1">
      <c r="A21" s="27"/>
      <c r="B21" s="27"/>
      <c r="C21" s="27"/>
      <c r="D21" s="51"/>
      <c r="E21" s="27"/>
      <c r="F21" s="50"/>
      <c r="G21" s="52" t="s">
        <v>76</v>
      </c>
      <c r="H21" s="53">
        <f>SUMIF(C:C,"Кухня",F:F)</f>
        <v>1374500</v>
      </c>
      <c r="I21" s="32"/>
      <c r="J21" s="32"/>
    </row>
    <row r="22" spans="1:10" ht="18" customHeight="1">
      <c r="A22" s="27"/>
      <c r="B22" s="27"/>
      <c r="C22" s="27"/>
      <c r="D22" s="51"/>
      <c r="E22" s="27"/>
      <c r="F22" s="50"/>
      <c r="G22" s="27"/>
      <c r="H22" s="72"/>
      <c r="I22" s="32"/>
      <c r="J22" s="32"/>
    </row>
    <row r="23" spans="1:10" ht="18" customHeight="1" outlineLevel="1">
      <c r="A23" s="28" t="str">
        <f>VLOOKUP($B23,Справочник_Каталог!$A:$D,4,0)</f>
        <v>VT65-74</v>
      </c>
      <c r="B23" s="27" t="s">
        <v>58</v>
      </c>
      <c r="C23" s="28" t="str">
        <f>VLOOKUP($B23,Справочник_Каталог!$A:$D,2,0)</f>
        <v>Мебель</v>
      </c>
      <c r="D23" s="31">
        <v>590</v>
      </c>
      <c r="E23" s="30">
        <f>VLOOKUP($B23,Продажи_исходные!$A:$C,3,0)</f>
        <v>12</v>
      </c>
      <c r="F23" s="50">
        <f>D23*E23</f>
        <v>7080</v>
      </c>
      <c r="G23" s="27"/>
      <c r="H23" s="32"/>
      <c r="I23" s="32"/>
      <c r="J23" s="32"/>
    </row>
    <row r="24" spans="1:10" ht="18" customHeight="1" outlineLevel="1">
      <c r="A24" s="27"/>
      <c r="B24" s="27"/>
      <c r="C24" s="27"/>
      <c r="D24" s="51"/>
      <c r="E24" s="27"/>
      <c r="F24" s="50"/>
      <c r="G24" s="52" t="s">
        <v>76</v>
      </c>
      <c r="H24" s="53">
        <f>SUMIF(C:C,"Мебель",F:F)</f>
        <v>7080</v>
      </c>
      <c r="I24" s="32"/>
      <c r="J24" s="32"/>
    </row>
    <row r="25" spans="1:10" ht="18" customHeight="1">
      <c r="A25" s="27"/>
      <c r="B25" s="27"/>
      <c r="C25" s="27"/>
      <c r="D25" s="51"/>
      <c r="E25" s="27"/>
      <c r="F25" s="50"/>
      <c r="G25" s="27"/>
      <c r="H25" s="72"/>
      <c r="I25" s="32"/>
      <c r="J25" s="32"/>
    </row>
    <row r="26" spans="1:10" ht="15.75" outlineLevel="1">
      <c r="A26" s="28" t="str">
        <f>VLOOKUP($B26,Справочник_Каталог!$A:$D,4,0)</f>
        <v>WP25-38</v>
      </c>
      <c r="B26" s="27" t="s">
        <v>63</v>
      </c>
      <c r="C26" s="28" t="str">
        <f>VLOOKUP($B26,Справочник_Каталог!$A:$D,2,0)</f>
        <v>Свет</v>
      </c>
      <c r="D26" s="31">
        <v>3290</v>
      </c>
      <c r="E26" s="30">
        <f>VLOOKUP($B26,Продажи_исходные!$A:$C,3,0)</f>
        <v>21</v>
      </c>
      <c r="F26" s="50">
        <f t="shared" ref="F26:F27" si="1">D26*E26</f>
        <v>69090</v>
      </c>
      <c r="G26" s="27"/>
      <c r="H26" s="32"/>
      <c r="I26" s="32"/>
      <c r="J26" s="32"/>
    </row>
    <row r="27" spans="1:10" ht="15.75" outlineLevel="1">
      <c r="A27" s="28" t="str">
        <f>VLOOKUP($B27,Справочник_Каталог!$A:$D,4,0)</f>
        <v>FP86-07</v>
      </c>
      <c r="B27" s="27" t="s">
        <v>66</v>
      </c>
      <c r="C27" s="28" t="str">
        <f>VLOOKUP($B27,Справочник_Каталог!$A:$D,2,0)</f>
        <v>Свет</v>
      </c>
      <c r="D27" s="31">
        <v>890</v>
      </c>
      <c r="E27" s="30">
        <f>VLOOKUP($B27,Продажи_исходные!$A:$C,3,0)</f>
        <v>26</v>
      </c>
      <c r="F27" s="50">
        <f t="shared" si="1"/>
        <v>23140</v>
      </c>
      <c r="G27" s="27"/>
      <c r="H27" s="32"/>
      <c r="I27" s="32"/>
      <c r="J27" s="32"/>
    </row>
    <row r="28" spans="1:10" ht="15.75" outlineLevel="1">
      <c r="A28" s="27"/>
      <c r="B28" s="27"/>
      <c r="C28" s="27"/>
      <c r="D28" s="51"/>
      <c r="E28" s="27"/>
      <c r="F28" s="50"/>
      <c r="G28" s="27" t="s">
        <v>76</v>
      </c>
      <c r="H28" s="54">
        <f>SUMIF(C:C,"Свет",F:F)</f>
        <v>92230</v>
      </c>
      <c r="I28" s="32"/>
      <c r="J28" s="32"/>
    </row>
    <row r="29" spans="1:10" ht="37.5" customHeight="1" outlineLevel="1">
      <c r="A29" s="27"/>
      <c r="B29" s="27"/>
      <c r="C29" s="27"/>
      <c r="D29" s="51"/>
      <c r="E29" s="27"/>
      <c r="F29" s="50"/>
      <c r="G29" s="55" t="s">
        <v>79</v>
      </c>
      <c r="H29" s="32">
        <f>COUNTIF(C:C,"Свет")</f>
        <v>2</v>
      </c>
      <c r="I29" s="32"/>
      <c r="J29" s="32"/>
    </row>
    <row r="30" spans="1:10" ht="37.5" customHeight="1" outlineLevel="1">
      <c r="A30" s="27"/>
      <c r="B30" s="27"/>
      <c r="C30" s="27"/>
      <c r="D30" s="51"/>
      <c r="E30" s="27"/>
      <c r="F30" s="50"/>
      <c r="G30" s="56" t="s">
        <v>80</v>
      </c>
      <c r="H30" s="56">
        <f>SUMIFS(E:E,C:C,"Свет",D:D,"&gt;1000",D:D,"&lt;5000")</f>
        <v>21</v>
      </c>
      <c r="I30" s="32"/>
      <c r="J30" s="32"/>
    </row>
    <row r="31" spans="1:10" ht="16.5" customHeight="1">
      <c r="A31" s="27"/>
      <c r="B31" s="27"/>
      <c r="C31" s="27"/>
      <c r="D31" s="51"/>
      <c r="E31" s="27"/>
      <c r="F31" s="50"/>
      <c r="G31" s="55"/>
      <c r="H31" s="55"/>
      <c r="I31" s="32"/>
      <c r="J31" s="32"/>
    </row>
    <row r="32" spans="1:10" ht="15.75" outlineLevel="1">
      <c r="A32" s="28" t="str">
        <f>VLOOKUP($B32,Справочник_Каталог!$A:$D,4,0)</f>
        <v>WM32-27</v>
      </c>
      <c r="B32" s="27" t="s">
        <v>49</v>
      </c>
      <c r="C32" s="28" t="str">
        <f>VLOOKUP($B32,Справочник_Каталог!$A:$D,2,0)</f>
        <v>Стеллажи</v>
      </c>
      <c r="D32" s="31">
        <v>1390</v>
      </c>
      <c r="E32" s="30">
        <f>VLOOKUP($B32,Продажи_исходные!$A:$C,3,0)</f>
        <v>9</v>
      </c>
      <c r="F32" s="50">
        <f t="shared" ref="F32:F33" si="2">D32*E32</f>
        <v>12510</v>
      </c>
      <c r="G32" s="27"/>
      <c r="H32" s="32"/>
      <c r="I32" s="32"/>
      <c r="J32" s="32"/>
    </row>
    <row r="33" spans="1:10" ht="15.75" outlineLevel="1">
      <c r="A33" s="28" t="str">
        <f>VLOOKUP($B33,Справочник_Каталог!$A:$D,4,0)</f>
        <v>MN56-32</v>
      </c>
      <c r="B33" s="27" t="s">
        <v>23</v>
      </c>
      <c r="C33" s="28" t="str">
        <f>VLOOKUP($B33,Справочник_Каталог!$A:$D,2,0)</f>
        <v>Стеллажи</v>
      </c>
      <c r="D33" s="31">
        <v>2990</v>
      </c>
      <c r="E33" s="30">
        <f>VLOOKUP($B33,Продажи_исходные!$A:$C,3,0)</f>
        <v>13</v>
      </c>
      <c r="F33" s="50">
        <f t="shared" si="2"/>
        <v>38870</v>
      </c>
      <c r="G33" s="27"/>
      <c r="H33" s="32"/>
      <c r="I33" s="32"/>
      <c r="J33" s="32"/>
    </row>
    <row r="34" spans="1:10" ht="15.75" outlineLevel="1">
      <c r="A34" s="27"/>
      <c r="B34" s="27"/>
      <c r="C34" s="27"/>
      <c r="D34" s="51"/>
      <c r="E34" s="27"/>
      <c r="F34" s="50"/>
      <c r="G34" s="27" t="s">
        <v>76</v>
      </c>
      <c r="H34" s="54">
        <f>SUMIF(C:C,"Стеллажи",F:F)</f>
        <v>51380</v>
      </c>
      <c r="I34" s="32"/>
      <c r="J34" s="32"/>
    </row>
    <row r="35" spans="1:10" ht="30" outlineLevel="1">
      <c r="A35" s="27"/>
      <c r="B35" s="27"/>
      <c r="C35" s="27"/>
      <c r="D35" s="51"/>
      <c r="E35" s="27"/>
      <c r="F35" s="50"/>
      <c r="G35" s="55" t="s">
        <v>81</v>
      </c>
      <c r="H35" s="32">
        <f>COUNTIF(C:C,"Стеллажи")</f>
        <v>2</v>
      </c>
      <c r="I35" s="32"/>
      <c r="J35" s="32"/>
    </row>
    <row r="36" spans="1:10" ht="30" outlineLevel="1">
      <c r="A36" s="27"/>
      <c r="B36" s="27"/>
      <c r="C36" s="27"/>
      <c r="D36" s="51"/>
      <c r="E36" s="27"/>
      <c r="F36" s="50"/>
      <c r="G36" s="56" t="s">
        <v>82</v>
      </c>
      <c r="H36" s="56">
        <f>SUMIFS(E:E,C:C,"Стеллажи",D:D,"&gt;1000",D:D,"&lt;10000")</f>
        <v>22</v>
      </c>
      <c r="I36" s="32"/>
      <c r="J36" s="32"/>
    </row>
    <row r="37" spans="1:10" ht="15.75">
      <c r="A37" s="27"/>
      <c r="B37" s="27"/>
      <c r="C37" s="27"/>
      <c r="D37" s="51"/>
      <c r="E37" s="27"/>
      <c r="F37" s="50"/>
      <c r="G37" s="55"/>
      <c r="H37" s="55"/>
      <c r="I37" s="32"/>
      <c r="J37" s="32"/>
    </row>
    <row r="38" spans="1:10" ht="15.75" outlineLevel="1">
      <c r="A38" s="28" t="str">
        <f>VLOOKUP($B38,Справочник_Каталог!$A:$D,4,0)</f>
        <v>BE65-00</v>
      </c>
      <c r="B38" s="27" t="s">
        <v>13</v>
      </c>
      <c r="C38" s="28" t="str">
        <f>VLOOKUP($B38,Справочник_Каталог!$A:$D,2,0)</f>
        <v>Столы</v>
      </c>
      <c r="D38" s="31">
        <v>10490</v>
      </c>
      <c r="E38" s="30">
        <f>VLOOKUP($B38,Продажи_исходные!$A:$C,3,0)</f>
        <v>3</v>
      </c>
      <c r="F38" s="50">
        <f t="shared" ref="F38:F41" si="3">D38*E38</f>
        <v>31470</v>
      </c>
      <c r="G38" s="55"/>
      <c r="H38" s="32"/>
      <c r="I38" s="32"/>
      <c r="J38" s="32"/>
    </row>
    <row r="39" spans="1:10" ht="15.75" outlineLevel="1">
      <c r="A39" s="28" t="str">
        <f>VLOOKUP($B39,Справочник_Каталог!$A:$D,4,0)</f>
        <v>BY65-24</v>
      </c>
      <c r="B39" s="27" t="s">
        <v>19</v>
      </c>
      <c r="C39" s="28" t="str">
        <f>VLOOKUP($B39,Справочник_Каталог!$A:$D,2,0)</f>
        <v>Столы</v>
      </c>
      <c r="D39" s="31">
        <v>5990</v>
      </c>
      <c r="E39" s="30">
        <f>VLOOKUP($B39,Продажи_исходные!$A:$C,3,0)</f>
        <v>9</v>
      </c>
      <c r="F39" s="50">
        <f t="shared" si="3"/>
        <v>53910</v>
      </c>
      <c r="G39" s="27"/>
      <c r="H39" s="32"/>
      <c r="I39" s="32"/>
      <c r="J39" s="32"/>
    </row>
    <row r="40" spans="1:10" ht="15.75" outlineLevel="1">
      <c r="A40" s="28" t="str">
        <f>VLOOKUP($B40,Справочник_Каталог!$A:$D,4,0)</f>
        <v>WE25-48</v>
      </c>
      <c r="B40" s="27" t="s">
        <v>21</v>
      </c>
      <c r="C40" s="28" t="str">
        <f>VLOOKUP($B40,Справочник_Каталог!$A:$D,2,0)</f>
        <v>Столы</v>
      </c>
      <c r="D40" s="31">
        <v>9590</v>
      </c>
      <c r="E40" s="30">
        <f>VLOOKUP($B40,Продажи_исходные!$A:$C,3,0)</f>
        <v>16</v>
      </c>
      <c r="F40" s="50">
        <f t="shared" si="3"/>
        <v>153440</v>
      </c>
      <c r="G40" s="27"/>
      <c r="H40" s="32"/>
      <c r="I40" s="32"/>
      <c r="J40" s="32"/>
    </row>
    <row r="41" spans="1:10" ht="15.75" outlineLevel="1">
      <c r="A41" s="28" t="str">
        <f>VLOOKUP($B41,Справочник_Каталог!$A:$D,4,0)</f>
        <v>KE35-92</v>
      </c>
      <c r="B41" s="27" t="s">
        <v>26</v>
      </c>
      <c r="C41" s="28" t="str">
        <f>VLOOKUP($B41,Справочник_Каталог!$A:$D,2,0)</f>
        <v>Столы</v>
      </c>
      <c r="D41" s="31">
        <v>3590</v>
      </c>
      <c r="E41" s="30">
        <f>VLOOKUP($B41,Продажи_исходные!$A:$C,3,0)</f>
        <v>5</v>
      </c>
      <c r="F41" s="50">
        <f t="shared" si="3"/>
        <v>17950</v>
      </c>
      <c r="G41" s="27"/>
      <c r="H41" s="32"/>
      <c r="I41" s="32"/>
      <c r="J41" s="32"/>
    </row>
    <row r="42" spans="1:10" ht="15.75" outlineLevel="1">
      <c r="A42" s="27"/>
      <c r="B42" s="27"/>
      <c r="C42" s="27"/>
      <c r="D42" s="51"/>
      <c r="E42" s="27"/>
      <c r="F42" s="50"/>
      <c r="G42" s="27" t="s">
        <v>76</v>
      </c>
      <c r="H42" s="54">
        <f>SUMIF(C:C,"Столы",F:F)</f>
        <v>256770</v>
      </c>
      <c r="I42" s="32"/>
      <c r="J42" s="32"/>
    </row>
    <row r="43" spans="1:10" ht="15.75" outlineLevel="1">
      <c r="A43" s="27"/>
      <c r="B43" s="27"/>
      <c r="C43" s="27"/>
      <c r="D43" s="51"/>
      <c r="E43" s="27"/>
      <c r="F43" s="50"/>
      <c r="G43" s="55" t="s">
        <v>83</v>
      </c>
      <c r="H43" s="32">
        <f>COUNTIF(C:C,"Столы")</f>
        <v>4</v>
      </c>
      <c r="I43" s="32"/>
      <c r="J43" s="32"/>
    </row>
    <row r="44" spans="1:10" ht="30" outlineLevel="1">
      <c r="A44" s="27"/>
      <c r="B44" s="27"/>
      <c r="C44" s="27"/>
      <c r="D44" s="51"/>
      <c r="E44" s="27"/>
      <c r="F44" s="50"/>
      <c r="G44" s="56" t="s">
        <v>84</v>
      </c>
      <c r="H44" s="56">
        <f>SUMIFS(E:E,C:C,"Столы",D:D,"&gt;3000",D:D,"&lt;11000")</f>
        <v>33</v>
      </c>
      <c r="I44" s="32"/>
      <c r="J44" s="32"/>
    </row>
    <row r="45" spans="1:10" ht="15.75">
      <c r="A45" s="27"/>
      <c r="B45" s="27"/>
      <c r="C45" s="27"/>
      <c r="D45" s="51"/>
      <c r="E45" s="27"/>
      <c r="F45" s="50"/>
      <c r="G45" s="55"/>
      <c r="H45" s="55"/>
      <c r="I45" s="32"/>
      <c r="J45" s="32"/>
    </row>
    <row r="46" spans="1:10" ht="15.75" outlineLevel="1">
      <c r="A46" s="28" t="str">
        <f>VLOOKUP($B46,Справочник_Каталог!$A:$D,4,0)</f>
        <v>HN47-96</v>
      </c>
      <c r="B46" s="27" t="s">
        <v>7</v>
      </c>
      <c r="C46" s="28" t="str">
        <f>VLOOKUP($B46,Справочник_Каталог!$A:$D,2,0)</f>
        <v>Текстиль</v>
      </c>
      <c r="D46" s="31">
        <v>2990</v>
      </c>
      <c r="E46" s="30">
        <f>VLOOKUP($B46,Продажи_исходные!$A:$C,3,0)</f>
        <v>23</v>
      </c>
      <c r="F46" s="50">
        <f t="shared" ref="F46:F48" si="4">D46*E46</f>
        <v>68770</v>
      </c>
      <c r="G46" s="27"/>
      <c r="H46" s="32"/>
      <c r="I46" s="32"/>
      <c r="J46" s="32"/>
    </row>
    <row r="47" spans="1:10" ht="15.75" outlineLevel="1">
      <c r="A47" s="28" t="str">
        <f>VLOOKUP($B47,Справочник_Каталог!$A:$D,4,0)</f>
        <v>MI56-74</v>
      </c>
      <c r="B47" s="27" t="s">
        <v>34</v>
      </c>
      <c r="C47" s="28" t="str">
        <f>VLOOKUP($B47,Справочник_Каталог!$A:$D,2,0)</f>
        <v>Текстиль</v>
      </c>
      <c r="D47" s="31">
        <v>1290</v>
      </c>
      <c r="E47" s="30">
        <f>VLOOKUP($B47,Продажи_исходные!$A:$C,3,0)</f>
        <v>16</v>
      </c>
      <c r="F47" s="50">
        <f t="shared" si="4"/>
        <v>20640</v>
      </c>
      <c r="G47" s="27"/>
      <c r="H47" s="32"/>
      <c r="I47" s="32"/>
      <c r="J47" s="32"/>
    </row>
    <row r="48" spans="1:10" ht="15.75" outlineLevel="1">
      <c r="A48" s="28" t="str">
        <f>VLOOKUP($B48,Справочник_Каталог!$A:$D,4,0)</f>
        <v>EP65-84</v>
      </c>
      <c r="B48" s="27" t="s">
        <v>45</v>
      </c>
      <c r="C48" s="28" t="str">
        <f>VLOOKUP($B48,Справочник_Каталог!$A:$D,2,0)</f>
        <v>Текстиль</v>
      </c>
      <c r="D48" s="31">
        <v>1290</v>
      </c>
      <c r="E48" s="30">
        <f>VLOOKUP($B48,Продажи_исходные!$A:$C,3,0)</f>
        <v>19</v>
      </c>
      <c r="F48" s="50">
        <f t="shared" si="4"/>
        <v>24510</v>
      </c>
      <c r="G48" s="27"/>
      <c r="H48" s="32"/>
      <c r="I48" s="32"/>
      <c r="J48" s="32"/>
    </row>
    <row r="49" spans="1:10" ht="15.75" outlineLevel="1">
      <c r="A49" s="27"/>
      <c r="B49" s="27"/>
      <c r="C49" s="27"/>
      <c r="D49" s="51"/>
      <c r="E49" s="27"/>
      <c r="F49" s="50"/>
      <c r="G49" s="27" t="s">
        <v>76</v>
      </c>
      <c r="H49" s="54">
        <f>SUMIF(C:C,"Текстиль",F:F)</f>
        <v>113920</v>
      </c>
      <c r="I49" s="32"/>
      <c r="J49" s="32"/>
    </row>
    <row r="50" spans="1:10" ht="30" outlineLevel="1">
      <c r="A50" s="27"/>
      <c r="B50" s="27"/>
      <c r="C50" s="27"/>
      <c r="D50" s="51"/>
      <c r="E50" s="27"/>
      <c r="F50" s="50"/>
      <c r="G50" s="55" t="s">
        <v>85</v>
      </c>
      <c r="H50" s="32">
        <f>COUNTIF(C:C,"Текстиль")</f>
        <v>3</v>
      </c>
      <c r="I50" s="32"/>
      <c r="J50" s="32"/>
    </row>
    <row r="51" spans="1:10" ht="30" outlineLevel="1">
      <c r="A51" s="27"/>
      <c r="B51" s="27"/>
      <c r="C51" s="27"/>
      <c r="D51" s="51"/>
      <c r="E51" s="27"/>
      <c r="F51" s="50"/>
      <c r="G51" s="56" t="s">
        <v>86</v>
      </c>
      <c r="H51" s="56">
        <f>SUMIFS(E:E,C:C,"Текстиль",D:D,"&gt;1000",D:D,"&lt;5000")</f>
        <v>58</v>
      </c>
      <c r="I51" s="32"/>
      <c r="J51" s="32"/>
    </row>
    <row r="52" spans="1:10" ht="15.75">
      <c r="A52" s="27"/>
      <c r="B52" s="27"/>
      <c r="C52" s="27"/>
      <c r="D52" s="51"/>
      <c r="E52" s="27"/>
      <c r="F52" s="50"/>
      <c r="G52" s="55"/>
      <c r="H52" s="55"/>
      <c r="I52" s="32"/>
      <c r="J52" s="32"/>
    </row>
    <row r="53" spans="1:10" ht="15.75" outlineLevel="1">
      <c r="A53" s="28" t="str">
        <f>VLOOKUP($B53,Справочник_Каталог!$A:$D,4,0)</f>
        <v>VU50-74</v>
      </c>
      <c r="B53" s="27" t="s">
        <v>36</v>
      </c>
      <c r="C53" s="28" t="str">
        <f>VLOOKUP($B53,Справочник_Каталог!$A:$D,2,0)</f>
        <v>Фурнитура</v>
      </c>
      <c r="D53" s="31">
        <v>99</v>
      </c>
      <c r="E53" s="30">
        <f>VLOOKUP($B53,Продажи_исходные!$A:$C,3,0)</f>
        <v>54</v>
      </c>
      <c r="F53" s="50">
        <f t="shared" ref="F53:F55" si="5">D53*E53</f>
        <v>5346</v>
      </c>
      <c r="G53" s="27"/>
      <c r="H53" s="32"/>
      <c r="I53" s="32"/>
      <c r="J53" s="32"/>
    </row>
    <row r="54" spans="1:10" ht="15.75" outlineLevel="1">
      <c r="A54" s="28" t="str">
        <f>VLOOKUP($B54,Справочник_Каталог!$A:$D,4,0)</f>
        <v>FY33-47</v>
      </c>
      <c r="B54" s="27" t="s">
        <v>39</v>
      </c>
      <c r="C54" s="28" t="str">
        <f>VLOOKUP($B54,Справочник_Каталог!$A:$D,2,0)</f>
        <v>Фурнитура</v>
      </c>
      <c r="D54" s="31">
        <v>259</v>
      </c>
      <c r="E54" s="30">
        <f>VLOOKUP($B54,Продажи_исходные!$A:$C,3,0)</f>
        <v>5</v>
      </c>
      <c r="F54" s="50">
        <f t="shared" si="5"/>
        <v>1295</v>
      </c>
      <c r="G54" s="27"/>
      <c r="H54" s="32"/>
      <c r="I54" s="32"/>
      <c r="J54" s="32"/>
    </row>
    <row r="55" spans="1:10" ht="15.75" outlineLevel="1">
      <c r="A55" s="28" t="str">
        <f>VLOOKUP($B55,Справочник_Каталог!$A:$D,4,0)</f>
        <v>KO35-95</v>
      </c>
      <c r="B55" s="27" t="s">
        <v>56</v>
      </c>
      <c r="C55" s="28" t="str">
        <f>VLOOKUP($B55,Справочник_Каталог!$A:$D,2,0)</f>
        <v>Фурнитура</v>
      </c>
      <c r="D55" s="31">
        <v>4490</v>
      </c>
      <c r="E55" s="30">
        <f>VLOOKUP($B55,Продажи_исходные!$A:$C,3,0)</f>
        <v>31</v>
      </c>
      <c r="F55" s="50">
        <f t="shared" si="5"/>
        <v>139190</v>
      </c>
      <c r="G55" s="27"/>
      <c r="H55" s="32"/>
      <c r="I55" s="32"/>
      <c r="J55" s="32"/>
    </row>
    <row r="56" spans="1:10" ht="15.75" outlineLevel="1">
      <c r="A56" s="27"/>
      <c r="B56" s="27"/>
      <c r="C56" s="27"/>
      <c r="D56" s="51"/>
      <c r="E56" s="27"/>
      <c r="F56" s="50"/>
      <c r="G56" s="27" t="s">
        <v>76</v>
      </c>
      <c r="H56" s="54">
        <f>SUMIF(C:C,"Фурнитура",F:F)</f>
        <v>145831</v>
      </c>
      <c r="I56" s="32"/>
      <c r="J56" s="32"/>
    </row>
    <row r="57" spans="1:10" ht="30" outlineLevel="1">
      <c r="A57" s="27"/>
      <c r="B57" s="27"/>
      <c r="C57" s="27"/>
      <c r="D57" s="51"/>
      <c r="E57" s="27"/>
      <c r="F57" s="50"/>
      <c r="G57" s="55" t="s">
        <v>87</v>
      </c>
      <c r="H57" s="32">
        <f>COUNTIF(C:C,"Фурнитура")</f>
        <v>3</v>
      </c>
      <c r="I57" s="32"/>
      <c r="J57" s="32"/>
    </row>
    <row r="58" spans="1:10" ht="30" outlineLevel="1">
      <c r="A58" s="27"/>
      <c r="B58" s="27"/>
      <c r="C58" s="27"/>
      <c r="D58" s="51"/>
      <c r="E58" s="27"/>
      <c r="F58" s="27"/>
      <c r="G58" s="56" t="s">
        <v>88</v>
      </c>
      <c r="H58" s="56">
        <f>SUMIFS(E:E,C:C,"Фурнитура",D:D,"&gt;90",D:D,"&lt;5000")</f>
        <v>90</v>
      </c>
      <c r="I58" s="32"/>
      <c r="J58" s="32"/>
    </row>
    <row r="59" spans="1:10" ht="15.75">
      <c r="A59" s="27"/>
      <c r="B59" s="27"/>
      <c r="C59" s="27"/>
      <c r="D59" s="51"/>
      <c r="E59" s="27"/>
      <c r="F59" s="27"/>
      <c r="G59" s="55"/>
      <c r="H59" s="55"/>
      <c r="I59" s="32"/>
      <c r="J59" s="32"/>
    </row>
    <row r="60" spans="1:10" ht="15.75" outlineLevel="1">
      <c r="A60" s="28" t="str">
        <f>VLOOKUP($B60,Справочник_Каталог!$A:$D,4,0)</f>
        <v>NF49-06</v>
      </c>
      <c r="B60" s="27" t="s">
        <v>47</v>
      </c>
      <c r="C60" s="28" t="str">
        <f>VLOOKUP($B60,Справочник_Каталог!$A:$D,2,0)</f>
        <v>Шкафы и комоды</v>
      </c>
      <c r="D60" s="31">
        <v>5590</v>
      </c>
      <c r="E60" s="30">
        <f>VLOOKUP($B60,Продажи_исходные!$A:$C,3,0)</f>
        <v>10</v>
      </c>
      <c r="F60" s="50">
        <f t="shared" ref="F60:F61" si="6">D60*E60</f>
        <v>55900</v>
      </c>
      <c r="G60" s="27"/>
      <c r="H60" s="32"/>
      <c r="I60" s="32"/>
      <c r="J60" s="32"/>
    </row>
    <row r="61" spans="1:10" ht="15.75" outlineLevel="1">
      <c r="A61" s="28" t="str">
        <f>VLOOKUP($B61,Справочник_Каталог!$A:$D,4,0)</f>
        <v>RT65-07</v>
      </c>
      <c r="B61" s="27" t="s">
        <v>31</v>
      </c>
      <c r="C61" s="28" t="str">
        <f>VLOOKUP($B61,Справочник_Каталог!$A:$D,2,0)</f>
        <v>Шкафы и комоды</v>
      </c>
      <c r="D61" s="31">
        <v>3290</v>
      </c>
      <c r="E61" s="30">
        <f>VLOOKUP($B61,Продажи_исходные!$A:$C,3,0)</f>
        <v>7</v>
      </c>
      <c r="F61" s="50">
        <f t="shared" si="6"/>
        <v>23030</v>
      </c>
      <c r="G61" s="27"/>
      <c r="H61" s="32"/>
      <c r="I61" s="32"/>
      <c r="J61" s="32"/>
    </row>
    <row r="62" spans="1:10" ht="15.75" outlineLevel="1">
      <c r="A62" s="27"/>
      <c r="B62" s="27"/>
      <c r="C62" s="27"/>
      <c r="D62" s="57"/>
      <c r="E62" s="27"/>
      <c r="F62" s="27"/>
      <c r="G62" s="27" t="s">
        <v>76</v>
      </c>
      <c r="H62" s="54">
        <f>SUMIF(C:C,"Шкафы и комоды",F:F)</f>
        <v>78930</v>
      </c>
      <c r="I62" s="32"/>
      <c r="J62" s="32"/>
    </row>
    <row r="63" spans="1:10" ht="30" outlineLevel="1">
      <c r="A63" s="27"/>
      <c r="B63" s="27"/>
      <c r="C63" s="27"/>
      <c r="D63" s="57"/>
      <c r="E63" s="27"/>
      <c r="F63" s="27"/>
      <c r="G63" s="55" t="s">
        <v>89</v>
      </c>
      <c r="H63" s="32">
        <f>COUNTIF(C:C,"Шкафы и комоды")</f>
        <v>2</v>
      </c>
      <c r="I63" s="32"/>
      <c r="J63" s="32"/>
    </row>
    <row r="64" spans="1:10" ht="30" outlineLevel="1">
      <c r="A64" s="27"/>
      <c r="B64" s="27"/>
      <c r="C64" s="27"/>
      <c r="D64" s="57"/>
      <c r="E64" s="27"/>
      <c r="F64" s="27"/>
      <c r="G64" s="56" t="s">
        <v>90</v>
      </c>
      <c r="H64" s="56">
        <f>SUMIFS(E:E,C:C,"Шкафы и комоды",D:D,"&gt;2000",D:D,"&lt;8000")</f>
        <v>17</v>
      </c>
      <c r="I64" s="32"/>
      <c r="J64" s="32"/>
    </row>
    <row r="65" spans="1:10" ht="15.75">
      <c r="A65" s="27"/>
      <c r="B65" s="27"/>
      <c r="C65" s="27"/>
      <c r="D65" s="57"/>
      <c r="E65" s="27"/>
      <c r="F65" s="27"/>
      <c r="G65" s="55"/>
      <c r="H65" s="55"/>
      <c r="I65" s="32"/>
      <c r="J65" s="32"/>
    </row>
    <row r="66" spans="1:10" ht="15.75">
      <c r="A66" s="32"/>
      <c r="B66" s="32"/>
      <c r="C66" s="32"/>
      <c r="D66" s="58"/>
      <c r="E66" s="32"/>
      <c r="F66" s="32"/>
      <c r="G66" s="27" t="s">
        <v>91</v>
      </c>
      <c r="H66" s="77">
        <f>SUM(H3+H10+H15+H18+H21+H24+H28+H34+H42+H49+H56+H62)</f>
        <v>2718771</v>
      </c>
      <c r="I66" s="32"/>
      <c r="J66" s="32"/>
    </row>
    <row r="67" spans="1:10" ht="15.75">
      <c r="A67" s="32"/>
      <c r="B67" s="32"/>
      <c r="C67" s="32"/>
      <c r="D67" s="58"/>
      <c r="E67" s="32"/>
      <c r="F67" s="32"/>
      <c r="G67" s="32" t="s">
        <v>92</v>
      </c>
      <c r="H67" s="78">
        <f>SUM(E:E)</f>
        <v>383</v>
      </c>
      <c r="I67" s="32"/>
      <c r="J67" s="32"/>
    </row>
    <row r="68" spans="1:10" ht="15.75">
      <c r="A68" s="32"/>
      <c r="B68" s="32"/>
      <c r="C68" s="32"/>
      <c r="D68" s="58"/>
      <c r="E68" s="32"/>
      <c r="F68" s="32"/>
      <c r="G68" s="32"/>
      <c r="H68" s="32"/>
      <c r="I68" s="32"/>
      <c r="J68" s="32"/>
    </row>
    <row r="69" spans="1:10" ht="15.75">
      <c r="A69" s="32"/>
      <c r="B69" s="32"/>
      <c r="C69" s="32"/>
      <c r="D69" s="58"/>
      <c r="E69" s="32"/>
      <c r="F69" s="32"/>
      <c r="G69" s="32"/>
      <c r="H69" s="32"/>
      <c r="I69" s="32"/>
      <c r="J69" s="32"/>
    </row>
    <row r="70" spans="1:10" ht="15.75">
      <c r="A70" s="32"/>
      <c r="B70" s="32"/>
      <c r="C70" s="32"/>
      <c r="D70" s="58"/>
      <c r="E70" s="32"/>
      <c r="F70" s="32"/>
      <c r="G70" s="32"/>
      <c r="H70" s="32"/>
      <c r="I70" s="32"/>
      <c r="J70" s="32"/>
    </row>
    <row r="71" spans="1:10">
      <c r="D71" s="24"/>
    </row>
    <row r="72" spans="1:10">
      <c r="D72" s="24"/>
    </row>
    <row r="73" spans="1:10">
      <c r="D73" s="24"/>
    </row>
  </sheetData>
  <sortState xmlns:xlrd2="http://schemas.microsoft.com/office/spreadsheetml/2017/richdata2" ref="A2:H24">
    <sortCondition ref="C2:C24"/>
  </sortState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087B-6A8B-4239-A2D3-412E66EF2174}">
  <dimension ref="A1:C7"/>
  <sheetViews>
    <sheetView workbookViewId="0">
      <selection activeCell="I34" sqref="I34"/>
    </sheetView>
  </sheetViews>
  <sheetFormatPr defaultRowHeight="15"/>
  <cols>
    <col min="1" max="1" width="29.28515625" bestFit="1" customWidth="1"/>
    <col min="2" max="2" width="14.28515625" customWidth="1"/>
  </cols>
  <sheetData>
    <row r="1" spans="1:3" ht="21.75" customHeight="1">
      <c r="A1" s="33" t="s">
        <v>93</v>
      </c>
      <c r="B1" s="27"/>
      <c r="C1" s="25"/>
    </row>
    <row r="2" spans="1:3">
      <c r="A2" s="27" t="s">
        <v>94</v>
      </c>
      <c r="B2" s="27" t="s">
        <v>95</v>
      </c>
      <c r="C2" s="25"/>
    </row>
    <row r="3" spans="1:3">
      <c r="A3" s="27" t="s">
        <v>96</v>
      </c>
      <c r="B3" s="27" t="s">
        <v>95</v>
      </c>
      <c r="C3" s="25"/>
    </row>
    <row r="4" spans="1:3">
      <c r="A4" s="27" t="s">
        <v>97</v>
      </c>
      <c r="B4" s="27" t="s">
        <v>95</v>
      </c>
      <c r="C4" s="25"/>
    </row>
    <row r="5" spans="1:3">
      <c r="A5" s="27" t="s">
        <v>98</v>
      </c>
      <c r="B5" s="27" t="s">
        <v>99</v>
      </c>
      <c r="C5" s="25"/>
    </row>
    <row r="6" spans="1:3">
      <c r="A6" s="32"/>
      <c r="B6" s="32"/>
      <c r="C6" s="25"/>
    </row>
    <row r="7" spans="1:3">
      <c r="A7" s="32"/>
      <c r="B7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D504-7012-437C-AD2E-38AAB0988D0C}">
  <dimension ref="A1:K72"/>
  <sheetViews>
    <sheetView topLeftCell="U2" workbookViewId="0">
      <selection activeCell="F16" sqref="F16:G16"/>
    </sheetView>
  </sheetViews>
  <sheetFormatPr defaultRowHeight="15"/>
  <cols>
    <col min="1" max="1" width="22.42578125" bestFit="1" customWidth="1"/>
    <col min="2" max="2" width="17.7109375" bestFit="1" customWidth="1"/>
    <col min="3" max="3" width="14.85546875" style="34" bestFit="1" customWidth="1"/>
    <col min="4" max="4" width="7" customWidth="1"/>
    <col min="5" max="5" width="5.42578125" customWidth="1"/>
    <col min="6" max="6" width="23.5703125" bestFit="1" customWidth="1"/>
    <col min="7" max="7" width="16.5703125" customWidth="1"/>
    <col min="8" max="8" width="6.7109375" customWidth="1"/>
    <col min="9" max="9" width="5.85546875" customWidth="1"/>
    <col min="10" max="10" width="23.5703125" bestFit="1" customWidth="1"/>
    <col min="11" max="11" width="18.28515625" customWidth="1"/>
  </cols>
  <sheetData>
    <row r="1" spans="1:11" ht="22.5" customHeight="1">
      <c r="A1" s="98" t="s">
        <v>100</v>
      </c>
      <c r="B1" s="99"/>
      <c r="D1" s="35"/>
      <c r="E1" s="35"/>
      <c r="F1" s="35"/>
      <c r="G1" s="35"/>
      <c r="H1" s="35"/>
      <c r="I1" s="35"/>
    </row>
    <row r="2" spans="1:11" ht="20.25" customHeight="1">
      <c r="A2" s="36" t="s">
        <v>76</v>
      </c>
      <c r="B2" s="61">
        <f>A23</f>
        <v>2718771</v>
      </c>
      <c r="D2" s="35"/>
      <c r="E2" s="35"/>
      <c r="F2" s="35"/>
      <c r="G2" s="35"/>
      <c r="H2" s="35"/>
      <c r="I2" s="35"/>
    </row>
    <row r="3" spans="1:11" ht="20.25" customHeight="1">
      <c r="A3" s="37" t="s">
        <v>101</v>
      </c>
      <c r="B3" s="64">
        <f>AVERAGE(A11:A22)</f>
        <v>226564.25</v>
      </c>
      <c r="D3" s="35"/>
      <c r="E3" s="35"/>
      <c r="F3" s="35"/>
      <c r="G3" s="35"/>
      <c r="H3" s="35"/>
      <c r="I3" s="35"/>
    </row>
    <row r="4" spans="1:11" ht="20.25" customHeight="1">
      <c r="A4" s="37" t="s">
        <v>102</v>
      </c>
      <c r="B4" s="38">
        <f>MEDIAN(A11:A22)</f>
        <v>116880</v>
      </c>
      <c r="D4" s="35"/>
      <c r="E4" s="35"/>
      <c r="F4" s="35"/>
      <c r="G4" s="35"/>
      <c r="H4" s="35"/>
      <c r="I4" s="35"/>
    </row>
    <row r="5" spans="1:11" ht="20.25" customHeight="1">
      <c r="A5" s="37" t="s">
        <v>103</v>
      </c>
      <c r="B5" s="38">
        <f>MAX(A11:A22)</f>
        <v>1374500</v>
      </c>
      <c r="D5" s="35"/>
      <c r="E5" s="35"/>
      <c r="F5" s="35"/>
      <c r="G5" s="35"/>
      <c r="H5" s="35"/>
      <c r="I5" s="35"/>
    </row>
    <row r="6" spans="1:11" ht="20.25" customHeight="1">
      <c r="A6" s="37" t="s">
        <v>104</v>
      </c>
      <c r="B6" s="38">
        <f>MIN(A11:A22)</f>
        <v>7080</v>
      </c>
      <c r="D6" s="35"/>
      <c r="E6" s="35"/>
      <c r="F6" s="35"/>
      <c r="G6" s="35"/>
      <c r="H6" s="35"/>
      <c r="I6" s="35"/>
    </row>
    <row r="7" spans="1:11" ht="20.25" customHeight="1">
      <c r="A7" s="37" t="s">
        <v>105</v>
      </c>
      <c r="B7" s="60">
        <f>A24</f>
        <v>383</v>
      </c>
      <c r="D7" s="35"/>
      <c r="E7" s="35"/>
      <c r="F7" s="35"/>
      <c r="G7" s="35"/>
      <c r="H7" s="35"/>
      <c r="I7" s="35"/>
    </row>
    <row r="8" spans="1:11">
      <c r="B8" s="39"/>
      <c r="C8" s="40"/>
      <c r="D8" s="35"/>
      <c r="E8" s="35"/>
      <c r="F8" s="35"/>
      <c r="G8" s="35"/>
      <c r="H8" s="35"/>
      <c r="I8" s="35"/>
    </row>
    <row r="9" spans="1:11">
      <c r="B9" s="35"/>
      <c r="C9" s="41"/>
      <c r="D9" s="35"/>
      <c r="H9" s="35"/>
      <c r="I9" s="35"/>
    </row>
    <row r="10" spans="1:11" ht="24.75" customHeight="1">
      <c r="A10" s="46" t="s">
        <v>75</v>
      </c>
      <c r="B10" s="46" t="s">
        <v>1</v>
      </c>
      <c r="C10" s="46" t="s">
        <v>106</v>
      </c>
      <c r="D10" s="46"/>
      <c r="H10" s="46"/>
      <c r="I10" s="35"/>
    </row>
    <row r="11" spans="1:11">
      <c r="A11" s="73">
        <v>31380</v>
      </c>
      <c r="B11" s="63" t="s">
        <v>54</v>
      </c>
      <c r="C11" s="66">
        <f>A11/A23</f>
        <v>1.1541979813673163E-2</v>
      </c>
      <c r="D11" s="35"/>
      <c r="H11" s="35"/>
      <c r="I11" s="35"/>
    </row>
    <row r="12" spans="1:11">
      <c r="A12" s="73">
        <v>248940</v>
      </c>
      <c r="B12" s="63" t="s">
        <v>29</v>
      </c>
      <c r="C12" s="66">
        <f>A12/A23</f>
        <v>9.156343068246646E-2</v>
      </c>
      <c r="D12" s="35"/>
      <c r="H12" s="35"/>
      <c r="I12" s="35"/>
    </row>
    <row r="13" spans="1:11">
      <c r="A13" s="73">
        <v>197970</v>
      </c>
      <c r="B13" s="63" t="s">
        <v>17</v>
      </c>
      <c r="C13" s="66">
        <f>A13/B2</f>
        <v>7.2815989283393126E-2</v>
      </c>
      <c r="D13" s="35"/>
      <c r="H13" s="35"/>
      <c r="I13" s="35"/>
    </row>
    <row r="14" spans="1:11">
      <c r="A14" s="74">
        <v>119840</v>
      </c>
      <c r="B14" s="62" t="s">
        <v>5</v>
      </c>
      <c r="C14" s="66">
        <f>A14/A23</f>
        <v>4.4078739989502611E-2</v>
      </c>
      <c r="D14" s="44"/>
      <c r="H14" s="35"/>
      <c r="I14" s="35"/>
    </row>
    <row r="15" spans="1:11">
      <c r="A15" s="74">
        <v>1374500</v>
      </c>
      <c r="B15" s="62" t="s">
        <v>11</v>
      </c>
      <c r="C15" s="66">
        <f>A15/A23</f>
        <v>0.50555931338093574</v>
      </c>
      <c r="D15" s="44"/>
      <c r="H15" s="35"/>
      <c r="I15" s="35"/>
    </row>
    <row r="16" spans="1:11">
      <c r="A16" s="73">
        <v>7080</v>
      </c>
      <c r="B16" s="63" t="s">
        <v>59</v>
      </c>
      <c r="C16" s="66">
        <f>A16/A23</f>
        <v>2.6041178164692797E-3</v>
      </c>
      <c r="D16" s="35"/>
      <c r="E16" s="35"/>
      <c r="F16" s="100" t="s">
        <v>107</v>
      </c>
      <c r="G16" s="100"/>
      <c r="H16" s="35"/>
      <c r="I16" s="35"/>
      <c r="J16" s="100" t="s">
        <v>108</v>
      </c>
      <c r="K16" s="100"/>
    </row>
    <row r="17" spans="1:11">
      <c r="A17" s="73">
        <v>92230</v>
      </c>
      <c r="B17" s="63" t="s">
        <v>64</v>
      </c>
      <c r="C17" s="66">
        <f>A17/B2</f>
        <v>3.3923416131774249E-2</v>
      </c>
      <c r="D17" s="35"/>
      <c r="E17" s="46" t="s">
        <v>109</v>
      </c>
      <c r="F17" s="46" t="s">
        <v>110</v>
      </c>
      <c r="G17" s="46" t="s">
        <v>75</v>
      </c>
      <c r="H17" s="35"/>
      <c r="I17" s="46" t="s">
        <v>109</v>
      </c>
      <c r="J17" s="46" t="s">
        <v>110</v>
      </c>
      <c r="K17" s="46" t="s">
        <v>75</v>
      </c>
    </row>
    <row r="18" spans="1:11">
      <c r="A18" s="73">
        <v>51380</v>
      </c>
      <c r="B18" s="63" t="s">
        <v>24</v>
      </c>
      <c r="C18" s="66">
        <f>A18/A23</f>
        <v>1.8898244831947963E-2</v>
      </c>
      <c r="D18" s="35"/>
      <c r="E18" s="62">
        <v>1</v>
      </c>
      <c r="F18" s="27" t="str">
        <f>VLOOKUP(G18,A10:C24,2,0)</f>
        <v>Кухня</v>
      </c>
      <c r="G18" s="47">
        <f>MAX(A11:A22)</f>
        <v>1374500</v>
      </c>
      <c r="H18" s="35"/>
      <c r="I18" s="62">
        <v>1</v>
      </c>
      <c r="J18" s="27" t="str">
        <f>VLOOKUP(K18,A10:C24,2,0)</f>
        <v>Мебель</v>
      </c>
      <c r="K18" s="47">
        <f>MIN(A11:A22)</f>
        <v>7080</v>
      </c>
    </row>
    <row r="19" spans="1:11">
      <c r="A19" s="73">
        <v>256770</v>
      </c>
      <c r="B19" s="63" t="s">
        <v>14</v>
      </c>
      <c r="C19" s="66">
        <f>A19/A23</f>
        <v>9.444340843712104E-2</v>
      </c>
      <c r="D19" s="35"/>
      <c r="E19" s="62">
        <v>2</v>
      </c>
      <c r="F19" s="27" t="str">
        <f t="shared" ref="F19:F22" si="0">VLOOKUP(G19,A11:C25,2,0)</f>
        <v>Столы</v>
      </c>
      <c r="G19" s="59">
        <f>LARGE(A$11:A$22,E19)</f>
        <v>256770</v>
      </c>
      <c r="H19" s="35"/>
      <c r="I19" s="62">
        <v>2</v>
      </c>
      <c r="J19" s="27" t="str">
        <f t="shared" ref="J19:J22" si="1">VLOOKUP(K19,A11:C25,2,0)</f>
        <v>Ванны</v>
      </c>
      <c r="K19" s="59">
        <f>SMALL(A$11:A$22,I19)</f>
        <v>31380</v>
      </c>
    </row>
    <row r="20" spans="1:11">
      <c r="A20" s="74">
        <v>113920</v>
      </c>
      <c r="B20" s="63" t="s">
        <v>8</v>
      </c>
      <c r="C20" s="66">
        <f>A20/A23</f>
        <v>4.1901285544093267E-2</v>
      </c>
      <c r="D20" s="44"/>
      <c r="E20" s="62">
        <v>3</v>
      </c>
      <c r="F20" s="27" t="str">
        <f t="shared" si="0"/>
        <v>Декор</v>
      </c>
      <c r="G20" s="59">
        <f>LARGE(A$11:A$22,E20)</f>
        <v>248940</v>
      </c>
      <c r="H20" s="35"/>
      <c r="I20" s="62">
        <v>3</v>
      </c>
      <c r="J20" s="27" t="str">
        <f t="shared" si="1"/>
        <v>Стеллажи</v>
      </c>
      <c r="K20" s="59">
        <f>SMALL(A$11:A$22,I20)</f>
        <v>51380</v>
      </c>
    </row>
    <row r="21" spans="1:11">
      <c r="A21" s="73">
        <v>145831</v>
      </c>
      <c r="B21" s="63" t="s">
        <v>37</v>
      </c>
      <c r="C21" s="66">
        <f>A21/A23</f>
        <v>5.3638574194001629E-2</v>
      </c>
      <c r="D21" s="35"/>
      <c r="E21" s="62">
        <v>4</v>
      </c>
      <c r="F21" s="27" t="str">
        <f t="shared" si="0"/>
        <v>Диваны</v>
      </c>
      <c r="G21" s="59">
        <f>LARGE(A$11:A$22,E21)</f>
        <v>197970</v>
      </c>
      <c r="H21" s="35"/>
      <c r="I21" s="62">
        <v>4</v>
      </c>
      <c r="J21" s="27" t="str">
        <f t="shared" si="1"/>
        <v>Шкафы и комоды</v>
      </c>
      <c r="K21" s="59">
        <f t="shared" ref="K20:K22" si="2">SMALL(A$11:A$22,I21)</f>
        <v>78930</v>
      </c>
    </row>
    <row r="22" spans="1:11">
      <c r="A22" s="73">
        <v>78930</v>
      </c>
      <c r="B22" s="63" t="s">
        <v>32</v>
      </c>
      <c r="C22" s="66">
        <f>A22/A23</f>
        <v>2.9031499894621504E-2</v>
      </c>
      <c r="D22" s="35"/>
      <c r="E22" s="63">
        <v>5</v>
      </c>
      <c r="F22" s="27" t="str">
        <f t="shared" si="0"/>
        <v>Фурнитура</v>
      </c>
      <c r="G22" s="59">
        <f>LARGE(A$11:A$22,E22)</f>
        <v>145831</v>
      </c>
      <c r="H22" s="35"/>
      <c r="I22" s="63">
        <v>5</v>
      </c>
      <c r="J22" s="27" t="str">
        <f t="shared" si="1"/>
        <v>Свет</v>
      </c>
      <c r="K22" s="59">
        <f t="shared" si="2"/>
        <v>92230</v>
      </c>
    </row>
    <row r="23" spans="1:11" ht="21.75" customHeight="1">
      <c r="A23" s="68">
        <f>SUM(A11:A22)</f>
        <v>2718771</v>
      </c>
      <c r="B23" s="67" t="s">
        <v>76</v>
      </c>
      <c r="D23" s="35"/>
      <c r="E23" s="63"/>
      <c r="F23" s="42" t="s">
        <v>111</v>
      </c>
      <c r="G23" s="47">
        <f>SUM(G18:G22)</f>
        <v>2224011</v>
      </c>
      <c r="H23" s="35"/>
      <c r="I23" s="63"/>
      <c r="J23" s="42" t="s">
        <v>111</v>
      </c>
      <c r="K23" s="47">
        <f>SUM(K18:K22)</f>
        <v>261000</v>
      </c>
    </row>
    <row r="24" spans="1:11" ht="21" customHeight="1">
      <c r="A24" s="69">
        <v>383</v>
      </c>
      <c r="B24" s="67" t="s">
        <v>92</v>
      </c>
      <c r="D24" s="35"/>
      <c r="E24" s="63"/>
      <c r="F24" s="45" t="s">
        <v>112</v>
      </c>
      <c r="G24" s="65">
        <f>G23/A23</f>
        <v>0.81802071597791792</v>
      </c>
      <c r="H24" s="35"/>
      <c r="I24" s="63"/>
      <c r="J24" s="45" t="s">
        <v>112</v>
      </c>
      <c r="K24" s="65">
        <f>K23/A23</f>
        <v>9.5999258488486158E-2</v>
      </c>
    </row>
    <row r="25" spans="1:11" ht="21.75" customHeight="1">
      <c r="B25" s="35"/>
      <c r="C25" s="41"/>
      <c r="D25" s="35"/>
      <c r="E25" s="63"/>
      <c r="F25" s="27"/>
      <c r="G25" s="59"/>
      <c r="I25" s="35"/>
    </row>
    <row r="26" spans="1:11" ht="18.75" customHeight="1">
      <c r="A26" s="46" t="s">
        <v>1</v>
      </c>
      <c r="B26" s="46" t="s">
        <v>75</v>
      </c>
      <c r="C26" s="46" t="s">
        <v>113</v>
      </c>
      <c r="D26" s="35"/>
      <c r="E26" s="63"/>
      <c r="F26" s="27"/>
      <c r="G26" s="59"/>
      <c r="H26" s="44"/>
      <c r="I26" s="35"/>
    </row>
    <row r="27" spans="1:11" ht="16.5" customHeight="1">
      <c r="A27" s="63" t="str">
        <f>B11</f>
        <v>Ванны</v>
      </c>
      <c r="B27" s="47">
        <f>A11</f>
        <v>31380</v>
      </c>
      <c r="C27" s="47">
        <f>AVERAGE(B27:B38)</f>
        <v>226564.25</v>
      </c>
      <c r="D27" s="35"/>
      <c r="E27" s="63"/>
      <c r="F27" s="27"/>
      <c r="G27" s="59"/>
      <c r="H27" s="44"/>
      <c r="I27" s="35"/>
    </row>
    <row r="28" spans="1:11" ht="16.5" customHeight="1">
      <c r="A28" s="63" t="str">
        <f t="shared" ref="A28:A39" si="3">B12</f>
        <v>Декор</v>
      </c>
      <c r="B28" s="47">
        <f t="shared" ref="B28:B38" si="4">A12</f>
        <v>248940</v>
      </c>
      <c r="C28" s="47">
        <f>AVERAGE(B27:B38)</f>
        <v>226564.25</v>
      </c>
      <c r="D28" s="35"/>
      <c r="E28" s="63"/>
      <c r="F28" s="27"/>
      <c r="G28" s="59"/>
      <c r="H28" s="43"/>
      <c r="I28" s="35"/>
    </row>
    <row r="29" spans="1:11" ht="16.5" customHeight="1">
      <c r="A29" s="63" t="str">
        <f t="shared" si="3"/>
        <v>Диваны</v>
      </c>
      <c r="B29" s="47">
        <f t="shared" si="4"/>
        <v>197970</v>
      </c>
      <c r="C29" s="47">
        <f>AVERAGE(B27:B38)</f>
        <v>226564.25</v>
      </c>
      <c r="D29" s="35"/>
      <c r="E29" s="63"/>
      <c r="F29" s="27"/>
      <c r="G29" s="59"/>
      <c r="H29" s="44"/>
      <c r="I29" s="35"/>
    </row>
    <row r="30" spans="1:11" ht="16.5" customHeight="1">
      <c r="A30" s="63" t="str">
        <f t="shared" si="3"/>
        <v>Кресла</v>
      </c>
      <c r="B30" s="47">
        <f t="shared" si="4"/>
        <v>119840</v>
      </c>
      <c r="C30" s="47">
        <f>AVERAGE(B27:B38)</f>
        <v>226564.25</v>
      </c>
      <c r="D30" s="35"/>
      <c r="E30" s="63"/>
      <c r="F30" s="27"/>
      <c r="G30" s="59"/>
      <c r="H30" s="32"/>
      <c r="I30" s="35"/>
    </row>
    <row r="31" spans="1:11" ht="16.5" customHeight="1">
      <c r="A31" s="63" t="str">
        <f t="shared" si="3"/>
        <v>Кухня</v>
      </c>
      <c r="B31" s="47">
        <f t="shared" si="4"/>
        <v>1374500</v>
      </c>
      <c r="C31" s="47">
        <f>AVERAGE(B27:B38)</f>
        <v>226564.25</v>
      </c>
      <c r="D31" s="35"/>
      <c r="E31" s="63"/>
      <c r="F31" s="27"/>
      <c r="G31" s="59"/>
      <c r="H31" s="32"/>
      <c r="I31" s="35"/>
    </row>
    <row r="32" spans="1:11" ht="16.5" customHeight="1">
      <c r="A32" s="63" t="str">
        <f t="shared" si="3"/>
        <v>Мебель</v>
      </c>
      <c r="B32" s="47">
        <f t="shared" si="4"/>
        <v>7080</v>
      </c>
      <c r="C32" s="47">
        <f>AVERAGE(B27:B38)</f>
        <v>226564.25</v>
      </c>
      <c r="E32" s="63"/>
      <c r="F32" s="27"/>
      <c r="G32" s="59"/>
      <c r="H32" s="32"/>
    </row>
    <row r="33" spans="1:11" ht="16.5" customHeight="1">
      <c r="A33" s="63" t="str">
        <f t="shared" si="3"/>
        <v>Свет</v>
      </c>
      <c r="B33" s="47">
        <f t="shared" si="4"/>
        <v>92230</v>
      </c>
      <c r="C33" s="47">
        <f>AVERAGE(B27:B38)</f>
        <v>226564.25</v>
      </c>
      <c r="E33" s="63"/>
      <c r="F33" s="27"/>
      <c r="G33" s="59"/>
      <c r="H33" s="32"/>
      <c r="K33" s="27"/>
    </row>
    <row r="34" spans="1:11" ht="16.5" customHeight="1">
      <c r="A34" s="63" t="str">
        <f t="shared" si="3"/>
        <v>Стеллажи</v>
      </c>
      <c r="B34" s="47">
        <f t="shared" si="4"/>
        <v>51380</v>
      </c>
      <c r="C34" s="47">
        <f>AVERAGE(B27:B38)</f>
        <v>226564.25</v>
      </c>
      <c r="E34" s="63"/>
      <c r="F34" s="27"/>
      <c r="G34" s="59"/>
      <c r="H34" s="32"/>
      <c r="K34" s="27"/>
    </row>
    <row r="35" spans="1:11" ht="16.5" customHeight="1">
      <c r="A35" s="63" t="str">
        <f t="shared" si="3"/>
        <v>Столы</v>
      </c>
      <c r="B35" s="47">
        <f t="shared" si="4"/>
        <v>256770</v>
      </c>
      <c r="C35" s="47">
        <f>AVERAGE(B27:B38)</f>
        <v>226564.25</v>
      </c>
      <c r="E35" s="63"/>
      <c r="F35" s="27"/>
      <c r="G35" s="59"/>
      <c r="H35" s="32"/>
      <c r="K35" s="27"/>
    </row>
    <row r="36" spans="1:11" ht="16.5" customHeight="1">
      <c r="A36" s="63" t="str">
        <f t="shared" si="3"/>
        <v>Текстиль</v>
      </c>
      <c r="B36" s="47">
        <f t="shared" si="4"/>
        <v>113920</v>
      </c>
      <c r="C36" s="47">
        <f>AVERAGE(B27:B38)</f>
        <v>226564.25</v>
      </c>
      <c r="E36" s="63"/>
      <c r="F36" s="27"/>
      <c r="G36" s="59"/>
      <c r="H36" s="32"/>
    </row>
    <row r="37" spans="1:11" ht="16.5" customHeight="1">
      <c r="A37" s="63" t="str">
        <f t="shared" si="3"/>
        <v>Фурнитура</v>
      </c>
      <c r="B37" s="47">
        <f t="shared" si="4"/>
        <v>145831</v>
      </c>
      <c r="C37" s="47">
        <f>AVERAGE(B27:B38)</f>
        <v>226564.25</v>
      </c>
      <c r="E37" s="32"/>
      <c r="H37" s="32"/>
      <c r="K37" s="27"/>
    </row>
    <row r="38" spans="1:11" ht="16.5" customHeight="1">
      <c r="A38" s="63" t="str">
        <f t="shared" si="3"/>
        <v>Шкафы и комоды</v>
      </c>
      <c r="B38" s="47">
        <f t="shared" si="4"/>
        <v>78930</v>
      </c>
      <c r="C38" s="47">
        <f>AVERAGE(B27:B38)</f>
        <v>226564.25</v>
      </c>
      <c r="H38" s="32"/>
    </row>
    <row r="39" spans="1:11">
      <c r="A39" s="32"/>
      <c r="C39" s="95"/>
      <c r="H39" s="32"/>
      <c r="K39" s="27"/>
    </row>
    <row r="40" spans="1:11">
      <c r="A40" s="32"/>
      <c r="H40" s="32"/>
    </row>
    <row r="41" spans="1:11">
      <c r="A41" s="32"/>
      <c r="H41" s="32"/>
      <c r="K41" s="27"/>
    </row>
    <row r="42" spans="1:11">
      <c r="A42" s="32"/>
      <c r="H42" s="32"/>
    </row>
    <row r="43" spans="1:11">
      <c r="A43" s="32"/>
      <c r="H43" s="32"/>
      <c r="K43" s="27"/>
    </row>
    <row r="44" spans="1:11">
      <c r="A44" s="32"/>
      <c r="H44" s="32"/>
    </row>
    <row r="45" spans="1:11">
      <c r="A45" s="32"/>
      <c r="H45" s="32"/>
    </row>
    <row r="46" spans="1:11">
      <c r="A46" s="32"/>
      <c r="H46" s="32"/>
      <c r="K46" s="27"/>
    </row>
    <row r="47" spans="1:11">
      <c r="A47" s="32"/>
      <c r="H47" s="32"/>
      <c r="K47" s="27"/>
    </row>
    <row r="48" spans="1:11">
      <c r="A48" s="32"/>
      <c r="H48" s="32"/>
      <c r="K48" s="27"/>
    </row>
    <row r="49" spans="1:11">
      <c r="A49" s="32"/>
      <c r="H49" s="32"/>
    </row>
    <row r="50" spans="1:11">
      <c r="A50" s="32"/>
      <c r="H50" s="32"/>
    </row>
    <row r="51" spans="1:11">
      <c r="A51" s="32"/>
      <c r="H51" s="32"/>
      <c r="K51" s="27"/>
    </row>
    <row r="52" spans="1:11" ht="21" customHeight="1">
      <c r="A52" s="32"/>
      <c r="G52" s="32"/>
      <c r="H52" s="32"/>
      <c r="K52" s="27"/>
    </row>
    <row r="53" spans="1:11">
      <c r="K53" s="27"/>
    </row>
    <row r="58" spans="1:11">
      <c r="K58" s="27"/>
    </row>
    <row r="59" spans="1:11">
      <c r="K59" s="27"/>
    </row>
    <row r="60" spans="1:11">
      <c r="K60" s="27"/>
    </row>
    <row r="64" spans="1:11">
      <c r="K64" s="27"/>
    </row>
    <row r="65" spans="11:11">
      <c r="K65" s="27"/>
    </row>
    <row r="66" spans="11:11">
      <c r="K66" s="27"/>
    </row>
    <row r="70" spans="11:11">
      <c r="K70" s="27"/>
    </row>
    <row r="71" spans="11:11">
      <c r="K71" s="27"/>
    </row>
    <row r="72" spans="11:11">
      <c r="K72" s="27"/>
    </row>
  </sheetData>
  <sortState xmlns:xlrd2="http://schemas.microsoft.com/office/spreadsheetml/2017/richdata2" ref="F11:F36">
    <sortCondition ref="F11:F36"/>
  </sortState>
  <mergeCells count="3">
    <mergeCell ref="A1:B1"/>
    <mergeCell ref="F16:G16"/>
    <mergeCell ref="J16:K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3E39-19EB-474A-8A8D-724C427B516B}">
  <dimension ref="A1:D91"/>
  <sheetViews>
    <sheetView showGridLines="0" tabSelected="1" workbookViewId="0">
      <selection activeCell="A32" sqref="A32"/>
    </sheetView>
  </sheetViews>
  <sheetFormatPr defaultRowHeight="15"/>
  <cols>
    <col min="1" max="1" width="26.85546875" bestFit="1" customWidth="1"/>
    <col min="2" max="2" width="25.28515625" style="71" bestFit="1" customWidth="1"/>
    <col min="3" max="3" width="24.28515625" customWidth="1"/>
    <col min="4" max="4" width="38.7109375" customWidth="1"/>
    <col min="5" max="6" width="8.140625" bestFit="1" customWidth="1"/>
    <col min="7" max="12" width="9.28515625" bestFit="1" customWidth="1"/>
    <col min="13" max="13" width="10.7109375" bestFit="1" customWidth="1"/>
    <col min="14" max="14" width="11.7109375" bestFit="1" customWidth="1"/>
  </cols>
  <sheetData>
    <row r="1" spans="1:4" ht="15.75">
      <c r="A1" s="89" t="s">
        <v>75</v>
      </c>
      <c r="B1" s="90" t="s">
        <v>114</v>
      </c>
      <c r="C1" s="89" t="s">
        <v>101</v>
      </c>
      <c r="D1" s="97" t="s">
        <v>115</v>
      </c>
    </row>
    <row r="2" spans="1:4" ht="41.25" customHeight="1">
      <c r="A2" s="91">
        <f>Статистика!B2</f>
        <v>2718771</v>
      </c>
      <c r="B2" s="92">
        <f>Статистика!B7</f>
        <v>383</v>
      </c>
      <c r="C2" s="91">
        <f>Статистика!B3</f>
        <v>226564.25</v>
      </c>
      <c r="D2" s="93">
        <f>Статистика!C15</f>
        <v>0.50555931338093574</v>
      </c>
    </row>
    <row r="4" spans="1:4" ht="23.25" customHeight="1"/>
    <row r="18" ht="25.5" customHeight="1"/>
    <row r="49" spans="1:4" hidden="1"/>
    <row r="52" spans="1:4">
      <c r="A52" s="75" t="s">
        <v>1</v>
      </c>
      <c r="B52" s="76" t="s">
        <v>116</v>
      </c>
      <c r="C52" s="75" t="s">
        <v>117</v>
      </c>
      <c r="D52" s="75" t="s">
        <v>118</v>
      </c>
    </row>
    <row r="53" spans="1:4">
      <c r="A53" s="32" t="s">
        <v>54</v>
      </c>
      <c r="B53" s="59">
        <v>31380</v>
      </c>
      <c r="C53" s="70">
        <v>2</v>
      </c>
      <c r="D53" s="70">
        <v>1</v>
      </c>
    </row>
    <row r="54" spans="1:4">
      <c r="A54" s="32" t="s">
        <v>29</v>
      </c>
      <c r="B54" s="59">
        <v>248940</v>
      </c>
      <c r="C54" s="70">
        <v>78</v>
      </c>
      <c r="D54" s="70">
        <v>5</v>
      </c>
    </row>
    <row r="55" spans="1:4">
      <c r="A55" s="32" t="s">
        <v>17</v>
      </c>
      <c r="B55" s="59">
        <v>197970</v>
      </c>
      <c r="C55" s="70">
        <v>3</v>
      </c>
      <c r="D55" s="70">
        <v>1</v>
      </c>
    </row>
    <row r="56" spans="1:4">
      <c r="A56" s="32" t="s">
        <v>5</v>
      </c>
      <c r="B56" s="59">
        <v>119840</v>
      </c>
      <c r="C56" s="70">
        <v>16</v>
      </c>
      <c r="D56" s="70">
        <v>1</v>
      </c>
    </row>
    <row r="57" spans="1:4">
      <c r="A57" s="32" t="s">
        <v>11</v>
      </c>
      <c r="B57" s="59">
        <v>1374500</v>
      </c>
      <c r="C57" s="70">
        <v>5</v>
      </c>
      <c r="D57" s="70">
        <v>1</v>
      </c>
    </row>
    <row r="58" spans="1:4">
      <c r="A58" s="32" t="s">
        <v>59</v>
      </c>
      <c r="B58" s="59">
        <v>7080</v>
      </c>
      <c r="C58" s="70">
        <v>12</v>
      </c>
      <c r="D58" s="70">
        <v>1</v>
      </c>
    </row>
    <row r="59" spans="1:4">
      <c r="A59" s="32" t="s">
        <v>64</v>
      </c>
      <c r="B59" s="59">
        <v>92230</v>
      </c>
      <c r="C59" s="70">
        <v>47</v>
      </c>
      <c r="D59" s="70">
        <v>2</v>
      </c>
    </row>
    <row r="60" spans="1:4">
      <c r="A60" s="32" t="s">
        <v>24</v>
      </c>
      <c r="B60" s="59">
        <v>51380</v>
      </c>
      <c r="C60" s="70">
        <v>22</v>
      </c>
      <c r="D60" s="70">
        <v>2</v>
      </c>
    </row>
    <row r="61" spans="1:4">
      <c r="A61" s="32" t="s">
        <v>14</v>
      </c>
      <c r="B61" s="59">
        <v>256770</v>
      </c>
      <c r="C61" s="70">
        <v>33</v>
      </c>
      <c r="D61" s="70">
        <v>4</v>
      </c>
    </row>
    <row r="62" spans="1:4">
      <c r="A62" s="32" t="s">
        <v>8</v>
      </c>
      <c r="B62" s="59">
        <v>113920</v>
      </c>
      <c r="C62" s="70">
        <v>58</v>
      </c>
      <c r="D62" s="70">
        <v>3</v>
      </c>
    </row>
    <row r="63" spans="1:4">
      <c r="A63" s="32" t="s">
        <v>37</v>
      </c>
      <c r="B63" s="59">
        <v>145831</v>
      </c>
      <c r="C63" s="70">
        <v>90</v>
      </c>
      <c r="D63" s="70">
        <v>3</v>
      </c>
    </row>
    <row r="64" spans="1:4">
      <c r="A64" s="32" t="s">
        <v>32</v>
      </c>
      <c r="B64" s="59">
        <v>78930</v>
      </c>
      <c r="C64" s="70">
        <v>17</v>
      </c>
      <c r="D64" s="70">
        <v>2</v>
      </c>
    </row>
    <row r="65" spans="1:4">
      <c r="A65" s="32" t="s">
        <v>119</v>
      </c>
      <c r="B65" s="59"/>
      <c r="C65" s="70"/>
      <c r="D65" s="70"/>
    </row>
    <row r="66" spans="1:4" hidden="1">
      <c r="A66" s="32" t="s">
        <v>120</v>
      </c>
      <c r="B66" s="59">
        <v>2718771</v>
      </c>
      <c r="C66" s="70">
        <v>383</v>
      </c>
      <c r="D66" s="70">
        <v>26</v>
      </c>
    </row>
    <row r="69" spans="1:4">
      <c r="A69" s="94" t="s">
        <v>1</v>
      </c>
      <c r="B69" s="32" t="s">
        <v>116</v>
      </c>
      <c r="C69" s="32" t="s">
        <v>121</v>
      </c>
    </row>
    <row r="70" spans="1:4">
      <c r="A70" s="32" t="s">
        <v>54</v>
      </c>
      <c r="B70" s="47">
        <v>31380</v>
      </c>
      <c r="C70" s="47">
        <v>226564.25</v>
      </c>
    </row>
    <row r="71" spans="1:4">
      <c r="A71" s="32" t="s">
        <v>29</v>
      </c>
      <c r="B71" s="47">
        <v>248940</v>
      </c>
      <c r="C71" s="47">
        <v>226564.25</v>
      </c>
    </row>
    <row r="72" spans="1:4">
      <c r="A72" s="32" t="s">
        <v>17</v>
      </c>
      <c r="B72" s="47">
        <v>197970</v>
      </c>
      <c r="C72" s="47">
        <v>226564.25</v>
      </c>
    </row>
    <row r="73" spans="1:4">
      <c r="A73" s="32" t="s">
        <v>5</v>
      </c>
      <c r="B73" s="47">
        <v>119840</v>
      </c>
      <c r="C73" s="47">
        <v>226564.25</v>
      </c>
    </row>
    <row r="74" spans="1:4">
      <c r="A74" s="32" t="s">
        <v>11</v>
      </c>
      <c r="B74" s="47">
        <v>1374500</v>
      </c>
      <c r="C74" s="47">
        <v>226564.25</v>
      </c>
    </row>
    <row r="75" spans="1:4">
      <c r="A75" s="32" t="s">
        <v>59</v>
      </c>
      <c r="B75" s="47">
        <v>7080</v>
      </c>
      <c r="C75" s="47">
        <v>226564.25</v>
      </c>
    </row>
    <row r="76" spans="1:4">
      <c r="A76" s="32" t="s">
        <v>64</v>
      </c>
      <c r="B76" s="47">
        <v>92230</v>
      </c>
      <c r="C76" s="47">
        <v>226564.25</v>
      </c>
    </row>
    <row r="77" spans="1:4">
      <c r="A77" s="32" t="s">
        <v>24</v>
      </c>
      <c r="B77" s="47">
        <v>51380</v>
      </c>
      <c r="C77" s="47">
        <v>226564.25</v>
      </c>
    </row>
    <row r="78" spans="1:4">
      <c r="A78" s="32" t="s">
        <v>14</v>
      </c>
      <c r="B78" s="47">
        <v>256770</v>
      </c>
      <c r="C78" s="47">
        <v>226564.25</v>
      </c>
    </row>
    <row r="79" spans="1:4">
      <c r="A79" s="32" t="s">
        <v>8</v>
      </c>
      <c r="B79" s="47">
        <v>113920</v>
      </c>
      <c r="C79" s="47">
        <v>226564.25</v>
      </c>
    </row>
    <row r="80" spans="1:4">
      <c r="A80" s="32" t="s">
        <v>37</v>
      </c>
      <c r="B80" s="47">
        <v>145831</v>
      </c>
      <c r="C80" s="47">
        <v>226564.25</v>
      </c>
    </row>
    <row r="81" spans="1:3">
      <c r="A81" s="32" t="s">
        <v>32</v>
      </c>
      <c r="B81" s="47">
        <v>78930</v>
      </c>
      <c r="C81" s="47">
        <v>226564.25</v>
      </c>
    </row>
    <row r="82" spans="1:3">
      <c r="A82" t="s">
        <v>120</v>
      </c>
      <c r="B82" s="96">
        <v>2718771</v>
      </c>
      <c r="C82" s="96">
        <v>2718771</v>
      </c>
    </row>
    <row r="83" spans="1:3">
      <c r="B83"/>
    </row>
    <row r="85" spans="1:3">
      <c r="A85" s="94" t="s">
        <v>110</v>
      </c>
      <c r="B85" s="32" t="s">
        <v>116</v>
      </c>
    </row>
    <row r="86" spans="1:3">
      <c r="A86" s="32" t="s">
        <v>29</v>
      </c>
      <c r="B86" s="70">
        <v>248940</v>
      </c>
    </row>
    <row r="87" spans="1:3">
      <c r="A87" s="32" t="s">
        <v>17</v>
      </c>
      <c r="B87" s="70">
        <v>197970</v>
      </c>
    </row>
    <row r="88" spans="1:3">
      <c r="A88" s="32" t="s">
        <v>11</v>
      </c>
      <c r="B88" s="70">
        <v>1374500</v>
      </c>
    </row>
    <row r="89" spans="1:3">
      <c r="A89" s="32" t="s">
        <v>14</v>
      </c>
      <c r="B89" s="70">
        <v>256770</v>
      </c>
    </row>
    <row r="90" spans="1:3">
      <c r="A90" s="32" t="s">
        <v>37</v>
      </c>
      <c r="B90" s="70">
        <v>145831</v>
      </c>
    </row>
    <row r="91" spans="1:3">
      <c r="A91" s="32" t="s">
        <v>120</v>
      </c>
      <c r="B91" s="70">
        <v>2224011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2026-06-30T11:10:22Z</dcterms:created>
  <dcterms:modified xsi:type="dcterms:W3CDTF">2026-07-16T13:13:06Z</dcterms:modified>
  <cp:category/>
  <cp:contentStatus/>
</cp:coreProperties>
</file>