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xr:revisionPtr revIDLastSave="0" documentId="8_{786F5A3A-0F1A-4BE0-BD00-245C8F0FB02B}" xr6:coauthVersionLast="47" xr6:coauthVersionMax="47" xr10:uidLastSave="{00000000-0000-0000-0000-000000000000}"/>
  <bookViews>
    <workbookView xWindow="240" yWindow="105" windowWidth="14805" windowHeight="8010" firstSheet="4" xr2:uid="{00000000-000D-0000-FFFF-FFFF00000000}"/>
  </bookViews>
  <sheets>
    <sheet name="Исходные_данные" sheetId="5" r:id="rId1"/>
    <sheet name="Очистка_и_структура" sheetId="4" r:id="rId2"/>
    <sheet name="ABC_сегментация" sheetId="2" r:id="rId3"/>
    <sheet name="KPI_и_Оценка" sheetId="3" r:id="rId4"/>
    <sheet name="Дашборд" sheetId="7" r:id="rId5"/>
  </sheets>
  <externalReferences>
    <externalReference r:id="rId6"/>
  </externalReferences>
  <calcPr calcId="191028"/>
  <pivotCaches>
    <pivotCache cacheId="3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7" l="1"/>
  <c r="H6" i="7"/>
  <c r="H4" i="7"/>
  <c r="G4" i="7"/>
  <c r="G6" i="7"/>
  <c r="I6" i="7" s="1"/>
  <c r="G5" i="7"/>
  <c r="I5" i="7" s="1"/>
  <c r="B39" i="7"/>
  <c r="B40" i="7"/>
  <c r="H19" i="3"/>
  <c r="I40" i="3"/>
  <c r="I35" i="3"/>
  <c r="I39" i="3"/>
  <c r="I37" i="3"/>
  <c r="I34" i="3"/>
  <c r="I32" i="3"/>
  <c r="I36" i="3"/>
  <c r="I30" i="3"/>
  <c r="I27" i="3"/>
  <c r="I28" i="3"/>
  <c r="I41" i="3"/>
  <c r="I31" i="3"/>
  <c r="I29" i="3"/>
  <c r="I26" i="3"/>
  <c r="I33" i="3"/>
  <c r="I38" i="3"/>
  <c r="I22" i="3"/>
  <c r="I19" i="3"/>
  <c r="I23" i="3"/>
  <c r="I24" i="3"/>
  <c r="I25" i="3"/>
  <c r="I21" i="3"/>
  <c r="I20" i="3"/>
  <c r="I17" i="3"/>
  <c r="I13" i="3"/>
  <c r="I12" i="3"/>
  <c r="I15" i="3"/>
  <c r="I10" i="3"/>
  <c r="I11" i="3"/>
  <c r="I16" i="3"/>
  <c r="I14" i="3"/>
  <c r="I18" i="3"/>
  <c r="G30" i="3"/>
  <c r="H35" i="3"/>
  <c r="H39" i="3"/>
  <c r="H37" i="3"/>
  <c r="H34" i="3"/>
  <c r="H32" i="3"/>
  <c r="H36" i="3"/>
  <c r="H30" i="3"/>
  <c r="H27" i="3"/>
  <c r="H28" i="3"/>
  <c r="H41" i="3"/>
  <c r="H31" i="3"/>
  <c r="H29" i="3"/>
  <c r="H26" i="3"/>
  <c r="H33" i="3"/>
  <c r="H38" i="3"/>
  <c r="H22" i="3"/>
  <c r="H23" i="3"/>
  <c r="H24" i="3"/>
  <c r="H25" i="3"/>
  <c r="H21" i="3"/>
  <c r="H20" i="3"/>
  <c r="H17" i="3"/>
  <c r="H13" i="3"/>
  <c r="H12" i="3"/>
  <c r="H15" i="3"/>
  <c r="H10" i="3"/>
  <c r="H11" i="3"/>
  <c r="H16" i="3"/>
  <c r="H14" i="3"/>
  <c r="H18" i="3"/>
  <c r="H40" i="3"/>
  <c r="G39" i="3"/>
  <c r="G35" i="3"/>
  <c r="G40" i="3"/>
  <c r="G37" i="3"/>
  <c r="G34" i="3"/>
  <c r="G32" i="3"/>
  <c r="G36" i="3"/>
  <c r="G27" i="3"/>
  <c r="G28" i="3"/>
  <c r="G41" i="3"/>
  <c r="G31" i="3"/>
  <c r="G29" i="3"/>
  <c r="G26" i="3"/>
  <c r="G33" i="3"/>
  <c r="G38" i="3"/>
  <c r="G22" i="3"/>
  <c r="G19" i="3"/>
  <c r="G23" i="3"/>
  <c r="G24" i="3"/>
  <c r="G25" i="3"/>
  <c r="G21" i="3"/>
  <c r="G20" i="3"/>
  <c r="G17" i="3"/>
  <c r="G13" i="3"/>
  <c r="G12" i="3"/>
  <c r="G15" i="3"/>
  <c r="G10" i="3"/>
  <c r="G11" i="3"/>
  <c r="G16" i="3"/>
  <c r="G14" i="3"/>
  <c r="G18" i="3"/>
  <c r="F40" i="3"/>
  <c r="F35" i="3"/>
  <c r="F39" i="3"/>
  <c r="F37" i="3"/>
  <c r="F34" i="3"/>
  <c r="F32" i="3"/>
  <c r="F36" i="3"/>
  <c r="F30" i="3"/>
  <c r="F27" i="3"/>
  <c r="F28" i="3"/>
  <c r="F41" i="3"/>
  <c r="F31" i="3"/>
  <c r="F29" i="3"/>
  <c r="F26" i="3"/>
  <c r="F33" i="3"/>
  <c r="F38" i="3"/>
  <c r="F22" i="3"/>
  <c r="F19" i="3"/>
  <c r="F23" i="3"/>
  <c r="F24" i="3"/>
  <c r="F25" i="3"/>
  <c r="F21" i="3"/>
  <c r="F20" i="3"/>
  <c r="F17" i="3"/>
  <c r="F13" i="3"/>
  <c r="F12" i="3"/>
  <c r="F15" i="3"/>
  <c r="F10" i="3"/>
  <c r="F11" i="3"/>
  <c r="F16" i="3"/>
  <c r="F14" i="3"/>
  <c r="F18" i="3"/>
  <c r="E3" i="2"/>
  <c r="B34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2" i="2"/>
  <c r="D2" i="2"/>
  <c r="E2" i="2" s="1"/>
  <c r="E38" i="5"/>
  <c r="D38" i="5"/>
  <c r="C38" i="5"/>
  <c r="E27" i="5"/>
  <c r="D27" i="5"/>
  <c r="C27" i="5"/>
  <c r="E18" i="5"/>
  <c r="D18" i="5"/>
  <c r="C18" i="5"/>
  <c r="G7" i="7" l="1"/>
  <c r="I7" i="7" s="1"/>
  <c r="I4" i="7"/>
  <c r="D3" i="2"/>
  <c r="D4" i="2" l="1"/>
  <c r="D5" i="2" l="1"/>
  <c r="E4" i="2"/>
  <c r="D6" i="2" l="1"/>
  <c r="E5" i="2"/>
  <c r="D7" i="2" l="1"/>
  <c r="E6" i="2"/>
  <c r="D8" i="2" l="1"/>
  <c r="E7" i="2"/>
  <c r="D9" i="2" l="1"/>
  <c r="E8" i="2"/>
  <c r="D10" i="2" l="1"/>
  <c r="E9" i="2"/>
  <c r="D11" i="2" l="1"/>
  <c r="E10" i="2"/>
  <c r="D12" i="2" l="1"/>
  <c r="E11" i="2"/>
  <c r="D13" i="2" l="1"/>
  <c r="E12" i="2"/>
  <c r="D14" i="2" l="1"/>
  <c r="E13" i="2"/>
  <c r="D15" i="2" l="1"/>
  <c r="E14" i="2"/>
  <c r="D16" i="2" l="1"/>
  <c r="E15" i="2"/>
  <c r="D17" i="2" l="1"/>
  <c r="E16" i="2"/>
  <c r="D18" i="2" l="1"/>
  <c r="E17" i="2"/>
  <c r="D19" i="2" l="1"/>
  <c r="E18" i="2"/>
  <c r="D20" i="2" l="1"/>
  <c r="E19" i="2"/>
  <c r="D21" i="2" l="1"/>
  <c r="E20" i="2"/>
  <c r="D22" i="2" l="1"/>
  <c r="E21" i="2"/>
  <c r="D23" i="2" l="1"/>
  <c r="E22" i="2"/>
  <c r="D24" i="2" l="1"/>
  <c r="E23" i="2"/>
  <c r="D25" i="2" l="1"/>
  <c r="E24" i="2"/>
  <c r="D26" i="2" l="1"/>
  <c r="E25" i="2"/>
  <c r="D27" i="2" l="1"/>
  <c r="E26" i="2"/>
  <c r="D28" i="2" l="1"/>
  <c r="E27" i="2"/>
  <c r="D29" i="2" l="1"/>
  <c r="E28" i="2"/>
  <c r="D30" i="2" l="1"/>
  <c r="E29" i="2"/>
  <c r="D31" i="2" l="1"/>
  <c r="E30" i="2"/>
  <c r="D32" i="2" l="1"/>
  <c r="E31" i="2"/>
  <c r="D33" i="2" l="1"/>
  <c r="E33" i="2" s="1"/>
  <c r="E32" i="2"/>
</calcChain>
</file>

<file path=xl/sharedStrings.xml><?xml version="1.0" encoding="utf-8"?>
<sst xmlns="http://schemas.openxmlformats.org/spreadsheetml/2006/main" count="253" uniqueCount="75">
  <si>
    <t>Филиал</t>
  </si>
  <si>
    <t>Менеджер</t>
  </si>
  <si>
    <t>Продажи</t>
  </si>
  <si>
    <t xml:space="preserve">Звонки </t>
  </si>
  <si>
    <t>Встречи</t>
  </si>
  <si>
    <t xml:space="preserve">Центральный </t>
  </si>
  <si>
    <t>Абрамов П.И</t>
  </si>
  <si>
    <t>Алексеева М.П.</t>
  </si>
  <si>
    <t>Андреева Е.П.</t>
  </si>
  <si>
    <t>Басов Е.М.</t>
  </si>
  <si>
    <t>Буров А.Л.</t>
  </si>
  <si>
    <t>Громова Е.Ф.</t>
  </si>
  <si>
    <t>Емельянов М.А.</t>
  </si>
  <si>
    <t>Ильин Г.Г.</t>
  </si>
  <si>
    <t>Куликов Ф.Д.</t>
  </si>
  <si>
    <t>Малахова В.А.</t>
  </si>
  <si>
    <t>Маркова В.А.</t>
  </si>
  <si>
    <t>Пантелеева А.Ю.</t>
  </si>
  <si>
    <t>Парфенова А.К.</t>
  </si>
  <si>
    <t>Пахомов И.К.</t>
  </si>
  <si>
    <t>Рубцов Д.А.</t>
  </si>
  <si>
    <t>Федотова Е.Д.</t>
  </si>
  <si>
    <t>Итого по филиалу</t>
  </si>
  <si>
    <t>Троицк</t>
  </si>
  <si>
    <t>Борисов Т.М.</t>
  </si>
  <si>
    <t>Борисов М.М</t>
  </si>
  <si>
    <t>Быкова М.Е.</t>
  </si>
  <si>
    <t>Егорова А.А.</t>
  </si>
  <si>
    <t>Корнеев А.М.</t>
  </si>
  <si>
    <t>Смирнов А.Т.</t>
  </si>
  <si>
    <t>Федотова А.К.</t>
  </si>
  <si>
    <t>Балашиха</t>
  </si>
  <si>
    <t>Авдеева В.К.</t>
  </si>
  <si>
    <t>Аксенова У.М.</t>
  </si>
  <si>
    <t>Елисеева Е.А.</t>
  </si>
  <si>
    <t>Жукова В.В.</t>
  </si>
  <si>
    <t>Ильин В.Л</t>
  </si>
  <si>
    <t>Комаров Я.Д.</t>
  </si>
  <si>
    <t>Кузнецова А.М.</t>
  </si>
  <si>
    <t>Лазарев П.Е.</t>
  </si>
  <si>
    <t>Субботин Д.М.</t>
  </si>
  <si>
    <t>Доля</t>
  </si>
  <si>
    <t>Накопительный итог</t>
  </si>
  <si>
    <t>Категория АВС</t>
  </si>
  <si>
    <t>Общая выручка</t>
  </si>
  <si>
    <t>СИСТЕМА ГРЕЙДОВ</t>
  </si>
  <si>
    <t>KPI ОТДЕЛА</t>
  </si>
  <si>
    <t>Объем продаж
(больше или равен)</t>
  </si>
  <si>
    <t>Процент с продаж</t>
  </si>
  <si>
    <t>Критерии</t>
  </si>
  <si>
    <t>Значения</t>
  </si>
  <si>
    <t>Целевые продажи</t>
  </si>
  <si>
    <t>Целевые звонки</t>
  </si>
  <si>
    <t>Процент в мотивацию</t>
  </si>
  <si>
    <t>Целевые встречи</t>
  </si>
  <si>
    <t>Процент премии</t>
  </si>
  <si>
    <t>Расчет мотивации с условиями</t>
  </si>
  <si>
    <t>План выполнен?
≥ 300 000</t>
  </si>
  <si>
    <t>Бонус</t>
  </si>
  <si>
    <t>Премия</t>
  </si>
  <si>
    <t>Активность</t>
  </si>
  <si>
    <t>Центральный</t>
  </si>
  <si>
    <t>План выполнен?</t>
  </si>
  <si>
    <t>Сумма по полю Продажи</t>
  </si>
  <si>
    <t>Сумма по полю Бонус</t>
  </si>
  <si>
    <t>Количество по полю Менеджер</t>
  </si>
  <si>
    <t>Да</t>
  </si>
  <si>
    <t>Нет</t>
  </si>
  <si>
    <t>% выполнения</t>
  </si>
  <si>
    <t>Общий итог</t>
  </si>
  <si>
    <t>Топ-10 менеджеров по продажам</t>
  </si>
  <si>
    <t>План</t>
  </si>
  <si>
    <t>Выполнение плана</t>
  </si>
  <si>
    <t>Выполнили (≥300 000)</t>
  </si>
  <si>
    <t>Не выполнили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</si>
</sst>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₽&quot;_-;\-* #,##0.00\ &quot;₽&quot;_-;_-* &quot;-&quot;??\ &quot;₽&quot;_-;_-@_-"/>
    <numFmt numFmtId="164" formatCode="#,##0\ &quot;₽&quot;"/>
    <numFmt numFmtId="165" formatCode="0.0%"/>
    <numFmt numFmtId="166" formatCode="#,##0&quot; ₽&quot;"/>
  </numFmts>
  <fonts count="16">
    <font>
      <sz val="11"/>
      <color theme="1"/>
      <name val="Calibri"/>
      <family val="2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2"/>
      <color theme="1"/>
      <name val="Museo Sans Cyrl 500"/>
      <family val="3"/>
    </font>
    <font>
      <sz val="11"/>
      <color theme="0"/>
      <name val="Times New Roman"/>
    </font>
    <font>
      <sz val="11"/>
      <color rgb="FF000000"/>
      <name val="Times New Roman"/>
    </font>
    <font>
      <sz val="11"/>
      <color rgb="FF222222"/>
      <name val="Times New Roman"/>
    </font>
    <font>
      <sz val="10"/>
      <name val="Arial"/>
      <charset val="1"/>
    </font>
    <font>
      <b/>
      <sz val="12"/>
      <name val="Times New Roman"/>
    </font>
    <font>
      <b/>
      <sz val="11"/>
      <name val="Times New Roman"/>
    </font>
    <font>
      <b/>
      <sz val="11"/>
      <color theme="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CBD4C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E1E3E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5" borderId="0" applyNumberFormat="0" applyBorder="0" applyAlignment="0" applyProtection="0"/>
    <xf numFmtId="0" fontId="1" fillId="7" borderId="0" applyNumberFormat="0" applyBorder="0" applyAlignment="0" applyProtection="0"/>
  </cellStyleXfs>
  <cellXfs count="122">
    <xf numFmtId="0" fontId="0" fillId="0" borderId="0" xfId="0"/>
    <xf numFmtId="0" fontId="4" fillId="0" borderId="0" xfId="0" applyFont="1"/>
    <xf numFmtId="44" fontId="4" fillId="0" borderId="0" xfId="1" applyFont="1"/>
    <xf numFmtId="0" fontId="5" fillId="0" borderId="0" xfId="0" applyFont="1"/>
    <xf numFmtId="44" fontId="5" fillId="0" borderId="0" xfId="0" applyNumberFormat="1" applyFont="1"/>
    <xf numFmtId="44" fontId="5" fillId="0" borderId="0" xfId="1" applyFont="1"/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/>
    </xf>
    <xf numFmtId="44" fontId="4" fillId="0" borderId="0" xfId="0" applyNumberFormat="1" applyFont="1"/>
    <xf numFmtId="0" fontId="7" fillId="0" borderId="0" xfId="0" applyFont="1"/>
    <xf numFmtId="44" fontId="7" fillId="0" borderId="0" xfId="1" applyFont="1"/>
    <xf numFmtId="0" fontId="5" fillId="2" borderId="1" xfId="0" applyFont="1" applyFill="1" applyBorder="1" applyAlignment="1">
      <alignment horizontal="center" vertical="center"/>
    </xf>
    <xf numFmtId="44" fontId="4" fillId="0" borderId="0" xfId="0" applyNumberFormat="1" applyFont="1" applyBorder="1" applyAlignment="1">
      <alignment vertical="center"/>
    </xf>
    <xf numFmtId="44" fontId="4" fillId="0" borderId="0" xfId="1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/>
    <xf numFmtId="9" fontId="4" fillId="0" borderId="0" xfId="2" applyFont="1"/>
    <xf numFmtId="0" fontId="4" fillId="0" borderId="4" xfId="0" applyFont="1" applyBorder="1"/>
    <xf numFmtId="164" fontId="4" fillId="0" borderId="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44" fontId="4" fillId="0" borderId="1" xfId="1" applyFont="1" applyBorder="1"/>
    <xf numFmtId="9" fontId="4" fillId="0" borderId="1" xfId="2" applyFont="1" applyBorder="1"/>
    <xf numFmtId="165" fontId="4" fillId="0" borderId="5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4" fillId="6" borderId="7" xfId="3" applyFont="1" applyFill="1" applyBorder="1"/>
    <xf numFmtId="0" fontId="4" fillId="6" borderId="8" xfId="3" applyFont="1" applyFill="1" applyBorder="1"/>
    <xf numFmtId="0" fontId="4" fillId="6" borderId="12" xfId="3" applyFont="1" applyFill="1" applyBorder="1"/>
    <xf numFmtId="0" fontId="4" fillId="6" borderId="6" xfId="3" applyFont="1" applyFill="1" applyBorder="1" applyAlignment="1">
      <alignment horizontal="center"/>
    </xf>
    <xf numFmtId="0" fontId="4" fillId="6" borderId="13" xfId="3" applyFont="1" applyFill="1" applyBorder="1"/>
    <xf numFmtId="0" fontId="4" fillId="6" borderId="2" xfId="3" applyFont="1" applyFill="1" applyBorder="1"/>
    <xf numFmtId="0" fontId="4" fillId="6" borderId="14" xfId="3" applyFont="1" applyFill="1" applyBorder="1"/>
    <xf numFmtId="44" fontId="4" fillId="6" borderId="12" xfId="3" applyNumberFormat="1" applyFont="1" applyFill="1" applyBorder="1"/>
    <xf numFmtId="44" fontId="4" fillId="6" borderId="7" xfId="3" applyNumberFormat="1" applyFont="1" applyFill="1" applyBorder="1"/>
    <xf numFmtId="44" fontId="4" fillId="6" borderId="8" xfId="3" applyNumberFormat="1" applyFont="1" applyFill="1" applyBorder="1"/>
    <xf numFmtId="0" fontId="5" fillId="4" borderId="0" xfId="0" applyFont="1" applyFill="1" applyBorder="1" applyAlignment="1">
      <alignment horizontal="center" vertical="center" wrapText="1"/>
    </xf>
    <xf numFmtId="0" fontId="4" fillId="6" borderId="9" xfId="3" applyFont="1" applyFill="1" applyBorder="1"/>
    <xf numFmtId="0" fontId="4" fillId="6" borderId="10" xfId="3" applyFont="1" applyFill="1" applyBorder="1"/>
    <xf numFmtId="0" fontId="4" fillId="6" borderId="11" xfId="3" applyFont="1" applyFill="1" applyBorder="1"/>
    <xf numFmtId="0" fontId="4" fillId="6" borderId="7" xfId="3" applyFont="1" applyFill="1" applyBorder="1" applyAlignment="1">
      <alignment horizontal="center"/>
    </xf>
    <xf numFmtId="0" fontId="4" fillId="6" borderId="8" xfId="3" applyFont="1" applyFill="1" applyBorder="1" applyAlignment="1">
      <alignment horizontal="center"/>
    </xf>
    <xf numFmtId="0" fontId="4" fillId="0" borderId="0" xfId="0" applyFont="1" applyAlignment="1">
      <alignment wrapText="1"/>
    </xf>
    <xf numFmtId="44" fontId="0" fillId="0" borderId="0" xfId="0" applyNumberFormat="1"/>
    <xf numFmtId="0" fontId="9" fillId="6" borderId="0" xfId="3" applyFont="1" applyFill="1" applyBorder="1" applyAlignment="1">
      <alignment horizontal="center" vertical="center"/>
    </xf>
    <xf numFmtId="0" fontId="4" fillId="6" borderId="0" xfId="3" applyFont="1" applyFill="1" applyBorder="1"/>
    <xf numFmtId="0" fontId="4" fillId="6" borderId="1" xfId="3" applyFont="1" applyFill="1" applyBorder="1"/>
    <xf numFmtId="0" fontId="9" fillId="6" borderId="10" xfId="3" applyFont="1" applyFill="1" applyBorder="1" applyAlignment="1">
      <alignment horizontal="center" vertical="center"/>
    </xf>
    <xf numFmtId="0" fontId="4" fillId="6" borderId="0" xfId="0" applyFont="1" applyFill="1" applyAlignment="1">
      <alignment vertical="top"/>
    </xf>
    <xf numFmtId="0" fontId="4" fillId="6" borderId="0" xfId="0" applyFont="1" applyFill="1"/>
    <xf numFmtId="44" fontId="4" fillId="6" borderId="0" xfId="1" applyFont="1" applyFill="1"/>
    <xf numFmtId="0" fontId="7" fillId="6" borderId="0" xfId="0" applyFont="1" applyFill="1"/>
    <xf numFmtId="0" fontId="4" fillId="6" borderId="0" xfId="0" applyFont="1" applyFill="1" applyAlignment="1">
      <alignment vertical="center"/>
    </xf>
    <xf numFmtId="44" fontId="4" fillId="6" borderId="0" xfId="1" applyFont="1" applyFill="1" applyAlignment="1">
      <alignment vertical="center"/>
    </xf>
    <xf numFmtId="10" fontId="4" fillId="6" borderId="0" xfId="0" applyNumberFormat="1" applyFont="1" applyFill="1" applyAlignment="1">
      <alignment vertical="center"/>
    </xf>
    <xf numFmtId="10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44" fontId="4" fillId="6" borderId="1" xfId="1" applyFont="1" applyFill="1" applyBorder="1" applyAlignment="1">
      <alignment vertical="center"/>
    </xf>
    <xf numFmtId="10" fontId="4" fillId="6" borderId="1" xfId="0" applyNumberFormat="1" applyFont="1" applyFill="1" applyBorder="1" applyAlignment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4" fontId="7" fillId="6" borderId="0" xfId="0" applyNumberFormat="1" applyFont="1" applyFill="1" applyAlignment="1">
      <alignment horizontal="right"/>
    </xf>
    <xf numFmtId="0" fontId="4" fillId="6" borderId="10" xfId="3" applyFont="1" applyFill="1" applyBorder="1" applyAlignment="1">
      <alignment horizontal="center" vertical="center"/>
    </xf>
    <xf numFmtId="0" fontId="10" fillId="6" borderId="10" xfId="3" applyFont="1" applyFill="1" applyBorder="1" applyAlignment="1">
      <alignment horizontal="center" vertical="center"/>
    </xf>
    <xf numFmtId="0" fontId="10" fillId="6" borderId="11" xfId="3" applyFont="1" applyFill="1" applyBorder="1" applyAlignment="1">
      <alignment horizontal="center" vertical="center"/>
    </xf>
    <xf numFmtId="0" fontId="10" fillId="6" borderId="9" xfId="3" applyFont="1" applyFill="1" applyBorder="1" applyAlignment="1">
      <alignment horizontal="center" vertical="center"/>
    </xf>
    <xf numFmtId="0" fontId="4" fillId="0" borderId="0" xfId="3" applyFont="1" applyFill="1" applyBorder="1"/>
    <xf numFmtId="44" fontId="4" fillId="0" borderId="0" xfId="3" applyNumberFormat="1" applyFont="1" applyFill="1" applyBorder="1"/>
    <xf numFmtId="0" fontId="4" fillId="6" borderId="6" xfId="3" applyFont="1" applyFill="1" applyBorder="1"/>
    <xf numFmtId="0" fontId="10" fillId="0" borderId="0" xfId="3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0" fontId="4" fillId="6" borderId="12" xfId="3" applyFont="1" applyFill="1" applyBorder="1" applyAlignment="1">
      <alignment horizontal="center"/>
    </xf>
    <xf numFmtId="44" fontId="4" fillId="6" borderId="2" xfId="3" applyNumberFormat="1" applyFont="1" applyFill="1" applyBorder="1"/>
    <xf numFmtId="0" fontId="4" fillId="6" borderId="2" xfId="3" applyFont="1" applyFill="1" applyBorder="1" applyAlignment="1">
      <alignment horizontal="center"/>
    </xf>
    <xf numFmtId="0" fontId="0" fillId="0" borderId="0" xfId="0" applyFill="1" applyBorder="1"/>
    <xf numFmtId="0" fontId="11" fillId="0" borderId="0" xfId="0" applyFont="1" applyFill="1" applyBorder="1" applyAlignment="1">
      <alignment readingOrder="1"/>
    </xf>
    <xf numFmtId="0" fontId="12" fillId="0" borderId="0" xfId="0" applyFont="1" applyFill="1" applyBorder="1"/>
    <xf numFmtId="166" fontId="12" fillId="0" borderId="0" xfId="0" applyNumberFormat="1" applyFont="1" applyFill="1" applyBorder="1"/>
    <xf numFmtId="0" fontId="12" fillId="0" borderId="0" xfId="0" applyFont="1" applyFill="1" applyBorder="1" applyAlignment="1">
      <alignment horizontal="center"/>
    </xf>
    <xf numFmtId="4" fontId="12" fillId="0" borderId="0" xfId="0" applyNumberFormat="1" applyFont="1" applyFill="1" applyBorder="1"/>
    <xf numFmtId="0" fontId="13" fillId="0" borderId="0" xfId="0" applyFont="1"/>
    <xf numFmtId="0" fontId="14" fillId="0" borderId="0" xfId="0" applyFont="1"/>
    <xf numFmtId="166" fontId="4" fillId="0" borderId="0" xfId="0" applyNumberFormat="1" applyFont="1"/>
    <xf numFmtId="44" fontId="0" fillId="0" borderId="0" xfId="0" applyNumberFormat="1" applyFill="1" applyBorder="1"/>
    <xf numFmtId="0" fontId="4" fillId="0" borderId="0" xfId="0" pivotButton="1" applyFont="1" applyAlignment="1">
      <alignment vertical="top"/>
    </xf>
    <xf numFmtId="0" fontId="4" fillId="7" borderId="0" xfId="4" applyFont="1"/>
    <xf numFmtId="44" fontId="4" fillId="7" borderId="0" xfId="4" applyNumberFormat="1" applyFont="1"/>
    <xf numFmtId="0" fontId="4" fillId="7" borderId="0" xfId="4" applyNumberFormat="1" applyFont="1"/>
    <xf numFmtId="9" fontId="4" fillId="7" borderId="0" xfId="4" applyNumberFormat="1" applyFont="1"/>
    <xf numFmtId="0" fontId="15" fillId="0" borderId="15" xfId="0" applyFont="1" applyFill="1" applyBorder="1" applyAlignment="1">
      <alignment readingOrder="1"/>
    </xf>
    <xf numFmtId="0" fontId="15" fillId="0" borderId="0" xfId="0" applyFont="1"/>
    <xf numFmtId="0" fontId="7" fillId="7" borderId="0" xfId="4" applyFont="1"/>
    <xf numFmtId="9" fontId="7" fillId="7" borderId="0" xfId="4" applyNumberFormat="1" applyFont="1"/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6" borderId="7" xfId="0" applyFont="1" applyFill="1" applyBorder="1"/>
    <xf numFmtId="0" fontId="4" fillId="6" borderId="6" xfId="0" applyFont="1" applyFill="1" applyBorder="1" applyAlignment="1">
      <alignment horizontal="left" vertical="top"/>
    </xf>
    <xf numFmtId="0" fontId="4" fillId="6" borderId="12" xfId="0" applyFont="1" applyFill="1" applyBorder="1"/>
    <xf numFmtId="44" fontId="4" fillId="6" borderId="6" xfId="1" applyFont="1" applyFill="1" applyBorder="1"/>
    <xf numFmtId="0" fontId="4" fillId="6" borderId="6" xfId="0" applyFont="1" applyFill="1" applyBorder="1"/>
    <xf numFmtId="44" fontId="7" fillId="6" borderId="6" xfId="1" applyFont="1" applyFill="1" applyBorder="1"/>
    <xf numFmtId="0" fontId="7" fillId="6" borderId="6" xfId="0" applyFont="1" applyFill="1" applyBorder="1"/>
    <xf numFmtId="0" fontId="4" fillId="6" borderId="16" xfId="0" applyFont="1" applyFill="1" applyBorder="1"/>
    <xf numFmtId="44" fontId="7" fillId="6" borderId="16" xfId="0" applyNumberFormat="1" applyFont="1" applyFill="1" applyBorder="1"/>
    <xf numFmtId="0" fontId="7" fillId="6" borderId="16" xfId="0" applyFont="1" applyFill="1" applyBorder="1"/>
    <xf numFmtId="0" fontId="5" fillId="2" borderId="14" xfId="0" applyFont="1" applyFill="1" applyBorder="1" applyAlignment="1">
      <alignment horizontal="center" vertical="center"/>
    </xf>
    <xf numFmtId="0" fontId="4" fillId="6" borderId="2" xfId="0" applyFont="1" applyFill="1" applyBorder="1"/>
    <xf numFmtId="0" fontId="7" fillId="6" borderId="17" xfId="0" applyFont="1" applyFill="1" applyBorder="1"/>
    <xf numFmtId="0" fontId="4" fillId="6" borderId="13" xfId="0" applyFont="1" applyFill="1" applyBorder="1"/>
    <xf numFmtId="0" fontId="7" fillId="6" borderId="13" xfId="0" applyFont="1" applyFill="1" applyBorder="1"/>
  </cellXfs>
  <cellStyles count="5">
    <cellStyle name="20% — акцент3" xfId="3" builtinId="38"/>
    <cellStyle name="20% — акцент5" xfId="4" builtinId="46"/>
    <cellStyle name="Денежный" xfId="1" builtinId="4"/>
    <cellStyle name="Обычный" xfId="0" builtinId="0"/>
    <cellStyle name="Процентный" xfId="2" builtinId="5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3" formatCode="0%"/>
      <fill>
        <patternFill patternType="solid">
          <fgColor theme="8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8" tint="0.79998168889431442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4" formatCode="0.00%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border>
        <right style="thin">
          <color rgb="FF000000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alignment vertical="top"/>
    </dxf>
    <dxf>
      <alignment vertical="top"/>
    </dxf>
    <dxf>
      <alignment wrapText="0"/>
    </dxf>
    <dxf>
      <alignment wrapText="0"/>
    </dxf>
    <dxf>
      <font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04"/>
        <scheme val="minor"/>
      </font>
      <fill>
        <patternFill patternType="solid">
          <fgColor theme="8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04"/>
        <scheme val="minor"/>
      </font>
      <fill>
        <patternFill patternType="solid">
          <fgColor theme="8" tint="0.79998168889431442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204"/>
        <scheme val="minor"/>
      </font>
      <fill>
        <patternFill patternType="solid">
          <fgColor theme="8" tint="0.79998168889431442"/>
          <bgColor indexed="65"/>
        </patternFill>
      </fill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Корреляция: звонки и продажи (по филиалам)</a:t>
            </a:r>
          </a:p>
        </c:rich>
      </c:tx>
      <c:layout>
        <c:manualLayout>
          <c:xMode val="edge"/>
          <c:yMode val="edge"/>
          <c:x val="0.23870314083080041"/>
          <c:y val="1.8761726078799251E-2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"Балашиха"</c:f>
              <c:strCache>
                <c:ptCount val="1"/>
                <c:pt idx="0">
                  <c:v>Балашиха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4472C4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</c:trendlineLbl>
          </c:trendline>
          <c:xVal>
            <c:numRef>
              <c:f>KPI_и_Оценка!C10:C18</c:f>
              <c:numCache>
                <c:formatCode>_("₽"* #,##0.00_);_("₽"* \(#,##0.00\);_("₽"* "-"??_);_(@_)</c:formatCode>
                <c:ptCount val="9"/>
                <c:pt idx="0">
                  <c:v>378880</c:v>
                </c:pt>
                <c:pt idx="1">
                  <c:v>364200</c:v>
                </c:pt>
                <c:pt idx="2">
                  <c:v>300895</c:v>
                </c:pt>
                <c:pt idx="3">
                  <c:v>250560</c:v>
                </c:pt>
                <c:pt idx="4">
                  <c:v>236550</c:v>
                </c:pt>
                <c:pt idx="5">
                  <c:v>203046</c:v>
                </c:pt>
                <c:pt idx="6">
                  <c:v>197900</c:v>
                </c:pt>
                <c:pt idx="7">
                  <c:v>137579</c:v>
                </c:pt>
                <c:pt idx="8">
                  <c:v>80800</c:v>
                </c:pt>
              </c:numCache>
            </c:numRef>
          </c:xVal>
          <c:yVal>
            <c:numRef>
              <c:f>KPI_и_Оценка!D10:D18</c:f>
              <c:numCache>
                <c:formatCode>General</c:formatCode>
                <c:ptCount val="9"/>
                <c:pt idx="0">
                  <c:v>67</c:v>
                </c:pt>
                <c:pt idx="1">
                  <c:v>63</c:v>
                </c:pt>
                <c:pt idx="2">
                  <c:v>54</c:v>
                </c:pt>
                <c:pt idx="3">
                  <c:v>27</c:v>
                </c:pt>
                <c:pt idx="4">
                  <c:v>92</c:v>
                </c:pt>
                <c:pt idx="5">
                  <c:v>59</c:v>
                </c:pt>
                <c:pt idx="6">
                  <c:v>51</c:v>
                </c:pt>
                <c:pt idx="7">
                  <c:v>58</c:v>
                </c:pt>
                <c:pt idx="8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5-482C-A9ED-06A2A1B261D8}"/>
            </c:ext>
          </c:extLst>
        </c:ser>
        <c:ser>
          <c:idx val="1"/>
          <c:order val="1"/>
          <c:tx>
            <c:strRef>
              <c:f>"Троицк"</c:f>
              <c:strCache>
                <c:ptCount val="1"/>
                <c:pt idx="0">
                  <c:v>Троицк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ED7D31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</c:trendlineLbl>
          </c:trendline>
          <c:xVal>
            <c:numRef>
              <c:f>KPI_и_Оценка!C19:C25</c:f>
              <c:numCache>
                <c:formatCode>_("₽"* #,##0.00_);_("₽"* \(#,##0.00\);_("₽"* "-"??_);_(@_)</c:formatCode>
                <c:ptCount val="7"/>
                <c:pt idx="0">
                  <c:v>394150</c:v>
                </c:pt>
                <c:pt idx="1">
                  <c:v>379470</c:v>
                </c:pt>
                <c:pt idx="2">
                  <c:v>355580</c:v>
                </c:pt>
                <c:pt idx="3">
                  <c:v>302080</c:v>
                </c:pt>
                <c:pt idx="4">
                  <c:v>279740</c:v>
                </c:pt>
                <c:pt idx="5">
                  <c:v>166480</c:v>
                </c:pt>
                <c:pt idx="6">
                  <c:v>88510</c:v>
                </c:pt>
              </c:numCache>
            </c:numRef>
          </c:xVal>
          <c:yVal>
            <c:numRef>
              <c:f>KPI_и_Оценка!D19:D25</c:f>
              <c:numCache>
                <c:formatCode>General</c:formatCode>
                <c:ptCount val="7"/>
                <c:pt idx="0">
                  <c:v>88</c:v>
                </c:pt>
                <c:pt idx="1">
                  <c:v>80</c:v>
                </c:pt>
                <c:pt idx="2">
                  <c:v>17</c:v>
                </c:pt>
                <c:pt idx="3">
                  <c:v>46</c:v>
                </c:pt>
                <c:pt idx="4">
                  <c:v>57</c:v>
                </c:pt>
                <c:pt idx="5">
                  <c:v>43</c:v>
                </c:pt>
                <c:pt idx="6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5-482C-A9ED-06A2A1B261D8}"/>
            </c:ext>
          </c:extLst>
        </c:ser>
        <c:ser>
          <c:idx val="2"/>
          <c:order val="2"/>
          <c:tx>
            <c:strRef>
              <c:f>"Центральный"</c:f>
              <c:strCache>
                <c:ptCount val="1"/>
                <c:pt idx="0">
                  <c:v>Центральный</c:v>
                </c:pt>
              </c:strCache>
            </c:strRef>
          </c:tx>
          <c:spPr>
            <a:ln w="28440">
              <a:noFill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70AD47"/>
                </a:solidFill>
                <a:prstDash val="dash"/>
                <a:round/>
              </a:ln>
            </c:spPr>
            <c:trendlineType val="linear"/>
            <c:dispRSqr val="1"/>
            <c:dispEq val="1"/>
            <c:trendlineLbl>
              <c:numFmt formatCode="General" sourceLinked="0"/>
              <c:txPr>
                <a:bodyPr/>
                <a:lstStyle/>
                <a:p>
                  <a:pPr>
                    <a:defRPr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</c:trendlineLbl>
          </c:trendline>
          <c:xVal>
            <c:numRef>
              <c:f>KPI_и_Оценка!C26:C41</c:f>
              <c:numCache>
                <c:formatCode>_("₽"* #,##0.00_);_("₽"* \(#,##0.00\);_("₽"* "-"??_);_(@_)</c:formatCode>
                <c:ptCount val="16"/>
                <c:pt idx="0">
                  <c:v>380585</c:v>
                </c:pt>
                <c:pt idx="1">
                  <c:v>373865</c:v>
                </c:pt>
                <c:pt idx="2">
                  <c:v>343360</c:v>
                </c:pt>
                <c:pt idx="3">
                  <c:v>237800</c:v>
                </c:pt>
                <c:pt idx="4">
                  <c:v>228379</c:v>
                </c:pt>
                <c:pt idx="5">
                  <c:v>226899</c:v>
                </c:pt>
                <c:pt idx="6">
                  <c:v>216149</c:v>
                </c:pt>
                <c:pt idx="7">
                  <c:v>205348</c:v>
                </c:pt>
                <c:pt idx="8">
                  <c:v>175230</c:v>
                </c:pt>
                <c:pt idx="9">
                  <c:v>165500</c:v>
                </c:pt>
                <c:pt idx="10">
                  <c:v>109200</c:v>
                </c:pt>
                <c:pt idx="11">
                  <c:v>104950</c:v>
                </c:pt>
                <c:pt idx="12">
                  <c:v>100645</c:v>
                </c:pt>
                <c:pt idx="13">
                  <c:v>97400</c:v>
                </c:pt>
                <c:pt idx="14">
                  <c:v>92000</c:v>
                </c:pt>
                <c:pt idx="15">
                  <c:v>83305</c:v>
                </c:pt>
              </c:numCache>
            </c:numRef>
          </c:xVal>
          <c:yVal>
            <c:numRef>
              <c:f>KPI_и_Оценка!D26:D41</c:f>
              <c:numCache>
                <c:formatCode>General</c:formatCode>
                <c:ptCount val="16"/>
                <c:pt idx="0">
                  <c:v>96</c:v>
                </c:pt>
                <c:pt idx="1">
                  <c:v>59</c:v>
                </c:pt>
                <c:pt idx="2">
                  <c:v>95</c:v>
                </c:pt>
                <c:pt idx="3">
                  <c:v>91</c:v>
                </c:pt>
                <c:pt idx="4">
                  <c:v>79</c:v>
                </c:pt>
                <c:pt idx="5">
                  <c:v>68</c:v>
                </c:pt>
                <c:pt idx="6">
                  <c:v>95</c:v>
                </c:pt>
                <c:pt idx="7">
                  <c:v>39</c:v>
                </c:pt>
                <c:pt idx="8">
                  <c:v>92</c:v>
                </c:pt>
                <c:pt idx="9">
                  <c:v>34</c:v>
                </c:pt>
                <c:pt idx="10">
                  <c:v>21</c:v>
                </c:pt>
                <c:pt idx="11">
                  <c:v>73</c:v>
                </c:pt>
                <c:pt idx="12">
                  <c:v>17</c:v>
                </c:pt>
                <c:pt idx="13">
                  <c:v>66</c:v>
                </c:pt>
                <c:pt idx="14">
                  <c:v>85</c:v>
                </c:pt>
                <c:pt idx="15">
                  <c:v>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55-482C-A9ED-06A2A1B26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00184"/>
        <c:axId val="72940179"/>
      </c:scatterChart>
      <c:valAx>
        <c:axId val="195001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/>
                    <a:ea typeface="Times New Roman"/>
                    <a:cs typeface="Times New Roman"/>
                  </a:defRPr>
                </a:pPr>
                <a:r>
                  <a:rPr lang="az-Cyrl-AZ"/>
                  <a:t>Продажи, </a:t>
                </a:r>
                <a:r>
                  <a:rPr lang="en-US"/>
                  <a:t>₽</a:t>
                </a:r>
              </a:p>
            </c:rich>
          </c:tx>
          <c:layout>
            <c:manualLayout>
              <c:xMode val="edge"/>
              <c:yMode val="edge"/>
              <c:x val="0.37178480349530779"/>
              <c:y val="0.94746716697936206"/>
            </c:manualLayout>
          </c:layout>
          <c:overlay val="0"/>
        </c:title>
        <c:numFmt formatCode="#,##0&quot; ₽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2940179"/>
        <c:crosses val="autoZero"/>
        <c:crossBetween val="midCat"/>
      </c:valAx>
      <c:valAx>
        <c:axId val="729401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/>
                    <a:ea typeface="Times New Roman"/>
                    <a:cs typeface="Times New Roman"/>
                  </a:defRPr>
                </a:pPr>
                <a:r>
                  <a:rPr lang="az-Cyrl-AZ"/>
                  <a:t>Звонки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5001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Топ-10 менеджеров по продажам</a:t>
            </a:r>
          </a:p>
        </c:rich>
      </c:tx>
      <c:layout>
        <c:manualLayout>
          <c:xMode val="edge"/>
          <c:yMode val="edge"/>
          <c:x val="0.24201616737993342"/>
          <c:y val="1.74050632911392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[1]Дашборд!B11</c:f>
              <c:strCache>
                <c:ptCount val="1"/>
                <c:pt idx="0">
                  <c:v>Продажи</c:v>
                </c:pt>
              </c:strCache>
            </c:strRef>
          </c:tx>
          <c:spPr>
            <a:solidFill>
              <a:srgbClr val="4472C4"/>
            </a:solidFill>
            <a:ln w="9360">
              <a:solidFill>
                <a:srgbClr val="0070BF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Дашборд!A11:A20</c:f>
              <c:strCache>
                <c:ptCount val="10"/>
                <c:pt idx="0">
                  <c:v>Борисов М.М</c:v>
                </c:pt>
                <c:pt idx="1">
                  <c:v>Пахомов И.К.</c:v>
                </c:pt>
                <c:pt idx="2">
                  <c:v>Федотова А.К.</c:v>
                </c:pt>
                <c:pt idx="3">
                  <c:v>Ильин В.Л</c:v>
                </c:pt>
                <c:pt idx="4">
                  <c:v>Куликов Ф.Д.</c:v>
                </c:pt>
                <c:pt idx="5">
                  <c:v>Комаров Я.Д.</c:v>
                </c:pt>
                <c:pt idx="6">
                  <c:v>Смирнов А.Т.</c:v>
                </c:pt>
                <c:pt idx="7">
                  <c:v>Малахова В.А.</c:v>
                </c:pt>
                <c:pt idx="8">
                  <c:v>Борисов Т.М.</c:v>
                </c:pt>
                <c:pt idx="9">
                  <c:v>Елисеева Е.А.</c:v>
                </c:pt>
              </c:strCache>
            </c:strRef>
          </c:cat>
          <c:val>
            <c:numRef>
              <c:f>Дашборд!B11:B20</c:f>
              <c:numCache>
                <c:formatCode>#,##0" ₽"</c:formatCode>
                <c:ptCount val="10"/>
                <c:pt idx="0">
                  <c:v>394150</c:v>
                </c:pt>
                <c:pt idx="1">
                  <c:v>380585</c:v>
                </c:pt>
                <c:pt idx="2">
                  <c:v>379470</c:v>
                </c:pt>
                <c:pt idx="3">
                  <c:v>378880</c:v>
                </c:pt>
                <c:pt idx="4">
                  <c:v>373865</c:v>
                </c:pt>
                <c:pt idx="5">
                  <c:v>364200</c:v>
                </c:pt>
                <c:pt idx="6">
                  <c:v>355580</c:v>
                </c:pt>
                <c:pt idx="7">
                  <c:v>343360</c:v>
                </c:pt>
                <c:pt idx="8">
                  <c:v>302080</c:v>
                </c:pt>
                <c:pt idx="9">
                  <c:v>300895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087-4F19-9095-A8118FA6B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460633"/>
        <c:axId val="51047158"/>
      </c:barChart>
      <c:lineChart>
        <c:grouping val="standard"/>
        <c:varyColors val="0"/>
        <c:ser>
          <c:idx val="1"/>
          <c:order val="1"/>
          <c:tx>
            <c:strRef>
              <c:f>[1]Дашборд!D11</c:f>
              <c:strCache>
                <c:ptCount val="1"/>
                <c:pt idx="0">
                  <c:v>План</c:v>
                </c:pt>
              </c:strCache>
            </c:strRef>
          </c:tx>
          <c:spPr>
            <a:ln w="201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Дашборд!A11:A20</c:f>
              <c:strCache>
                <c:ptCount val="10"/>
                <c:pt idx="0">
                  <c:v>Борисов М.М</c:v>
                </c:pt>
                <c:pt idx="1">
                  <c:v>Пахомов И.К.</c:v>
                </c:pt>
                <c:pt idx="2">
                  <c:v>Федотова А.К.</c:v>
                </c:pt>
                <c:pt idx="3">
                  <c:v>Ильин В.Л</c:v>
                </c:pt>
                <c:pt idx="4">
                  <c:v>Куликов Ф.Д.</c:v>
                </c:pt>
                <c:pt idx="5">
                  <c:v>Комаров Я.Д.</c:v>
                </c:pt>
                <c:pt idx="6">
                  <c:v>Смирнов А.Т.</c:v>
                </c:pt>
                <c:pt idx="7">
                  <c:v>Малахова В.А.</c:v>
                </c:pt>
                <c:pt idx="8">
                  <c:v>Борисов Т.М.</c:v>
                </c:pt>
                <c:pt idx="9">
                  <c:v>Елисеева Е.А.</c:v>
                </c:pt>
              </c:strCache>
            </c:strRef>
          </c:cat>
          <c:val>
            <c:numRef>
              <c:f>Дашборд!D11:D20</c:f>
              <c:numCache>
                <c:formatCode>#,##0" ₽"</c:formatCode>
                <c:ptCount val="10"/>
                <c:pt idx="0">
                  <c:v>300000</c:v>
                </c:pt>
                <c:pt idx="1">
                  <c:v>300000</c:v>
                </c:pt>
                <c:pt idx="2">
                  <c:v>300000</c:v>
                </c:pt>
                <c:pt idx="3">
                  <c:v>300000</c:v>
                </c:pt>
                <c:pt idx="4">
                  <c:v>300000</c:v>
                </c:pt>
                <c:pt idx="5">
                  <c:v>300000</c:v>
                </c:pt>
                <c:pt idx="6">
                  <c:v>300000</c:v>
                </c:pt>
                <c:pt idx="7">
                  <c:v>300000</c:v>
                </c:pt>
                <c:pt idx="8">
                  <c:v>300000</c:v>
                </c:pt>
                <c:pt idx="9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087-4F19-9095-A8118FA6B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60633"/>
        <c:axId val="51047158"/>
      </c:lineChart>
      <c:catAx>
        <c:axId val="6460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1047158"/>
        <c:crosses val="autoZero"/>
        <c:auto val="1"/>
        <c:lblAlgn val="ctr"/>
        <c:lblOffset val="100"/>
        <c:noMultiLvlLbl val="0"/>
      </c:catAx>
      <c:valAx>
        <c:axId val="510471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>
                    <a:latin typeface="Times New Roman"/>
                    <a:ea typeface="Times New Roman"/>
                    <a:cs typeface="Times New Roman"/>
                  </a:defRPr>
                </a:pPr>
                <a:r>
                  <a:rPr lang="az-Cyrl-AZ"/>
                  <a:t>Продажи, </a:t>
                </a:r>
                <a:r>
                  <a:rPr lang="en-US"/>
                  <a:t>₽</a:t>
                </a:r>
              </a:p>
            </c:rich>
          </c:tx>
          <c:layout>
            <c:manualLayout>
              <c:xMode val="edge"/>
              <c:yMode val="edge"/>
              <c:x val="9.7597597597597601E-3"/>
              <c:y val="0.43678778334526364"/>
            </c:manualLayout>
          </c:layout>
          <c:overlay val="0"/>
        </c:title>
        <c:numFmt formatCode="#,##0&quot; ₽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4606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Выполнение плана менеджерами</a:t>
            </a:r>
          </a:p>
        </c:rich>
      </c:tx>
      <c:layout>
        <c:manualLayout>
          <c:xMode val="edge"/>
          <c:yMode val="edge"/>
          <c:x val="0.15813293853024479"/>
          <c:y val="4.785472275838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81F-476A-9324-2C8FE37B34B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1F-476A-9324-2C8FE37B34B1}"/>
              </c:ext>
            </c:extLst>
          </c:dPt>
          <c:dLbls>
            <c:dLbl>
              <c:idx val="0"/>
              <c:layout>
                <c:manualLayout>
                  <c:x val="-0.17313753356941852"/>
                  <c:y val="0.1726761429965792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FFFFFF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az-Cyrl-AZ"/>
                      <a:t>Выполнили (≥300 000); 10; 31%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D81F-476A-9324-2C8FE37B34B1}"/>
                </c:ext>
              </c:extLst>
            </c:dLbl>
            <c:dLbl>
              <c:idx val="1"/>
              <c:layout>
                <c:manualLayout>
                  <c:x val="0.21523514870322266"/>
                  <c:y val="-8.936606996974938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FFFFFF"/>
                        </a:solidFill>
                        <a:latin typeface="Times New Roman"/>
                        <a:ea typeface="Times New Roman"/>
                        <a:cs typeface="Times New Roman"/>
                      </a:defRPr>
                    </a:pPr>
                    <a:r>
                      <a:rPr lang="az-Cyrl-AZ"/>
                      <a:t>Не выполнили; 22; 69%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FFFF"/>
                      </a:solidFill>
                      <a:latin typeface="Times New Roman"/>
                      <a:ea typeface="Times New Roman"/>
                      <a:cs typeface="Times New Roman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D81F-476A-9324-2C8FE37B34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Дашборд!$A$39:$A$40</c:f>
              <c:strCache>
                <c:ptCount val="2"/>
                <c:pt idx="0">
                  <c:v>Выполнили (≥300 000)</c:v>
                </c:pt>
                <c:pt idx="1">
                  <c:v>Не выполнили</c:v>
                </c:pt>
              </c:strCache>
            </c:strRef>
          </c:cat>
          <c:val>
            <c:numRef>
              <c:f>Дашборд!$B$39:$B$40</c:f>
              <c:numCache>
                <c:formatCode>General</c:formatCode>
                <c:ptCount val="2"/>
                <c:pt idx="0">
                  <c:v>10</c:v>
                </c:pt>
                <c:pt idx="1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F-476A-9324-2C8FE37B3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817063874428907"/>
          <c:y val="0.50078621480138485"/>
          <c:w val="0.19396474280921069"/>
          <c:h val="0.10304736964827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[Кейс 2 ABC-анализ отдела продаж.xlsx]Дашборд!Сводная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az-Cyrl-AZ"/>
              <a:t>Доля продаж по филиалам</a:t>
            </a:r>
          </a:p>
        </c:rich>
      </c:tx>
      <c:layout>
        <c:manualLayout>
          <c:xMode val="edge"/>
          <c:yMode val="edge"/>
          <c:x val="0.28640404194247249"/>
          <c:y val="4.7432771946081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0AD47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192325107171558"/>
              <c:y val="7.5439830592075763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Центральный; 3 140 615 </a:t>
                </a:r>
                <a:r>
                  <a:rPr lang="en-US"/>
                  <a:t>₽; 43%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544965879911221"/>
              <c:y val="0.1666534327089415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Балашиха; 2 150 410 </a:t>
                </a:r>
                <a:r>
                  <a:rPr lang="en-US"/>
                  <a:t>₽; 30%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894314433198829"/>
              <c:y val="-0.1975222693459554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az-Cyrl-AZ"/>
                  <a:t>Троицк; 1 966 010 </a:t>
                </a:r>
                <a:r>
                  <a:rPr lang="en-US"/>
                  <a:t>₽; 27%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Дашборд!$B$3</c:f>
              <c:strCache>
                <c:ptCount val="1"/>
                <c:pt idx="0">
                  <c:v>Сумма по полю Продажи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E45-4DF8-96D6-719931B34B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45-4DF8-96D6-719931B34BA9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45-4DF8-96D6-719931B34BA9}"/>
              </c:ext>
            </c:extLst>
          </c:dPt>
          <c:dLbls>
            <c:dLbl>
              <c:idx val="0"/>
              <c:layout>
                <c:manualLayout>
                  <c:x val="-0.15544965879911221"/>
                  <c:y val="0.16665343270894153"/>
                </c:manualLayout>
              </c:layout>
              <c:tx>
                <c:rich>
                  <a:bodyPr/>
                  <a:lstStyle/>
                  <a:p>
                    <a:r>
                      <a:rPr lang="az-Cyrl-AZ"/>
                      <a:t>Балашиха; 2 150 410 </a:t>
                    </a:r>
                    <a:r>
                      <a:rPr lang="en-US"/>
                      <a:t>₽; 30%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3E45-4DF8-96D6-719931B34BA9}"/>
                </c:ext>
              </c:extLst>
            </c:dLbl>
            <c:dLbl>
              <c:idx val="1"/>
              <c:layout>
                <c:manualLayout>
                  <c:x val="-0.10894314433198829"/>
                  <c:y val="-0.1975222693459554"/>
                </c:manualLayout>
              </c:layout>
              <c:tx>
                <c:rich>
                  <a:bodyPr/>
                  <a:lstStyle/>
                  <a:p>
                    <a:r>
                      <a:rPr lang="az-Cyrl-AZ"/>
                      <a:t>Троицк; 1 966 010 </a:t>
                    </a:r>
                    <a:r>
                      <a:rPr lang="en-US"/>
                      <a:t>₽; 27%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3E45-4DF8-96D6-719931B34BA9}"/>
                </c:ext>
              </c:extLst>
            </c:dLbl>
            <c:dLbl>
              <c:idx val="2"/>
              <c:layout>
                <c:manualLayout>
                  <c:x val="0.20192325107171558"/>
                  <c:y val="7.5439830592075763E-2"/>
                </c:manualLayout>
              </c:layout>
              <c:tx>
                <c:rich>
                  <a:bodyPr/>
                  <a:lstStyle/>
                  <a:p>
                    <a:r>
                      <a:rPr lang="az-Cyrl-AZ"/>
                      <a:t>Центральный; 3 140 615 </a:t>
                    </a:r>
                    <a:r>
                      <a:rPr lang="en-US"/>
                      <a:t>₽; 43%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3E45-4DF8-96D6-719931B34B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Дашборд!$A$4:$A$7</c:f>
              <c:strCache>
                <c:ptCount val="3"/>
                <c:pt idx="0">
                  <c:v>Балашиха</c:v>
                </c:pt>
                <c:pt idx="1">
                  <c:v>Троицк</c:v>
                </c:pt>
                <c:pt idx="2">
                  <c:v>Центральный</c:v>
                </c:pt>
              </c:strCache>
            </c:strRef>
          </c:cat>
          <c:val>
            <c:numRef>
              <c:f>Дашборд!$B$4:$B$7</c:f>
              <c:numCache>
                <c:formatCode>_("₽"* #,##0.00_);_("₽"* \(#,##0.00\);_("₽"* "-"??_);_(@_)</c:formatCode>
                <c:ptCount val="3"/>
                <c:pt idx="0">
                  <c:v>2150410</c:v>
                </c:pt>
                <c:pt idx="1">
                  <c:v>1966010</c:v>
                </c:pt>
                <c:pt idx="2">
                  <c:v>3140615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DF8-96D6-719931B34BA9}"/>
            </c:ext>
          </c:extLst>
        </c:ser>
        <c:ser>
          <c:idx val="1"/>
          <c:order val="1"/>
          <c:tx>
            <c:strRef>
              <c:f>Дашборд!$C$3</c:f>
              <c:strCache>
                <c:ptCount val="1"/>
                <c:pt idx="0">
                  <c:v>Сумма по полю Бонус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96-494C-ACA7-AA62868A55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96-494C-ACA7-AA62868A55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996-494C-ACA7-AA62868A5559}"/>
              </c:ext>
            </c:extLst>
          </c:dPt>
          <c:cat>
            <c:strRef>
              <c:f>Дашборд!$A$4:$A$7</c:f>
              <c:strCache>
                <c:ptCount val="3"/>
                <c:pt idx="0">
                  <c:v>Балашиха</c:v>
                </c:pt>
                <c:pt idx="1">
                  <c:v>Троицк</c:v>
                </c:pt>
                <c:pt idx="2">
                  <c:v>Центральный</c:v>
                </c:pt>
              </c:strCache>
            </c:strRef>
          </c:cat>
          <c:val>
            <c:numRef>
              <c:f>Дашборд!$C$4:$C$7</c:f>
              <c:numCache>
                <c:formatCode>General</c:formatCode>
                <c:ptCount val="3"/>
                <c:pt idx="0">
                  <c:v>76861.430000000008</c:v>
                </c:pt>
                <c:pt idx="1">
                  <c:v>86083.200000000012</c:v>
                </c:pt>
                <c:pt idx="2">
                  <c:v>95142.35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45-4DF8-96D6-719931B34BA9}"/>
            </c:ext>
          </c:extLst>
        </c:ser>
        <c:ser>
          <c:idx val="2"/>
          <c:order val="2"/>
          <c:tx>
            <c:strRef>
              <c:f>Дашборд!$D$3</c:f>
              <c:strCache>
                <c:ptCount val="1"/>
                <c:pt idx="0">
                  <c:v>Количество по полю Менеджер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996-494C-ACA7-AA62868A555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996-494C-ACA7-AA62868A555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96-494C-ACA7-AA62868A5559}"/>
              </c:ext>
            </c:extLst>
          </c:dPt>
          <c:cat>
            <c:strRef>
              <c:f>Дашборд!$A$4:$A$7</c:f>
              <c:strCache>
                <c:ptCount val="3"/>
                <c:pt idx="0">
                  <c:v>Балашиха</c:v>
                </c:pt>
                <c:pt idx="1">
                  <c:v>Троицк</c:v>
                </c:pt>
                <c:pt idx="2">
                  <c:v>Центральный</c:v>
                </c:pt>
              </c:strCache>
            </c:strRef>
          </c:cat>
          <c:val>
            <c:numRef>
              <c:f>Дашборд!$D$4:$D$7</c:f>
              <c:numCache>
                <c:formatCode>General</c:formatCode>
                <c:ptCount val="3"/>
                <c:pt idx="0">
                  <c:v>9</c:v>
                </c:pt>
                <c:pt idx="1">
                  <c:v>7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45-4DF8-96D6-719931B34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96580674384495"/>
          <c:y val="0.48246774987573071"/>
          <c:w val="0.11448580568872431"/>
          <c:h val="0.154571054472405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1047750</xdr:colOff>
      <xdr:row>8</xdr:row>
      <xdr:rowOff>0</xdr:rowOff>
    </xdr:from>
    <xdr:to>
      <xdr:col>14</xdr:col>
      <xdr:colOff>1038225</xdr:colOff>
      <xdr:row>35</xdr:row>
      <xdr:rowOff>180975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8857BAF7-1ACA-4AFD-BEEC-10A379D73E7B}"/>
            </a:ext>
            <a:ext uri="{147F2762-F138-4A5C-976F-8EAC2B608ADB}">
              <a16:predDERef xmlns:a16="http://schemas.microsoft.com/office/drawing/2014/main" pred="{DCBB9078-6539-FF7B-A392-9BA92D767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9525</xdr:rowOff>
    </xdr:from>
    <xdr:to>
      <xdr:col>6</xdr:col>
      <xdr:colOff>1047750</xdr:colOff>
      <xdr:row>35</xdr:row>
      <xdr:rowOff>180975</xdr:rowOff>
    </xdr:to>
    <xdr:graphicFrame macro="">
      <xdr:nvGraphicFramePr>
        <xdr:cNvPr id="21" name="Chart 2">
          <a:extLst>
            <a:ext uri="{FF2B5EF4-FFF2-40B4-BE49-F238E27FC236}">
              <a16:creationId xmlns:a16="http://schemas.microsoft.com/office/drawing/2014/main" id="{DC87319B-CE9B-4FC6-9CD9-44F30EFCF51B}"/>
            </a:ext>
            <a:ext uri="{147F2762-F138-4A5C-976F-8EAC2B608ADB}">
              <a16:predDERef xmlns:a16="http://schemas.microsoft.com/office/drawing/2014/main" pred="{8857BAF7-1ACA-4AFD-BEEC-10A379D73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180975</xdr:rowOff>
    </xdr:from>
    <xdr:to>
      <xdr:col>6</xdr:col>
      <xdr:colOff>1047750</xdr:colOff>
      <xdr:row>56</xdr:row>
      <xdr:rowOff>171450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6D24D2AC-6A0D-90AA-5153-DF9F27B14B5E}"/>
            </a:ext>
            <a:ext uri="{147F2762-F138-4A5C-976F-8EAC2B608ADB}">
              <a16:predDERef xmlns:a16="http://schemas.microsoft.com/office/drawing/2014/main" pred="{DC87319B-CE9B-4FC6-9CD9-44F30EFCF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1047750</xdr:colOff>
      <xdr:row>35</xdr:row>
      <xdr:rowOff>180975</xdr:rowOff>
    </xdr:from>
    <xdr:to>
      <xdr:col>14</xdr:col>
      <xdr:colOff>1038225</xdr:colOff>
      <xdr:row>56</xdr:row>
      <xdr:rowOff>171450</xdr:rowOff>
    </xdr:to>
    <xdr:graphicFrame macro="">
      <xdr:nvGraphicFramePr>
        <xdr:cNvPr id="23" name="Диаграмма 22">
          <a:extLst>
            <a:ext uri="{FF2B5EF4-FFF2-40B4-BE49-F238E27FC236}">
              <a16:creationId xmlns:a16="http://schemas.microsoft.com/office/drawing/2014/main" id="{CD9CCF5B-F64F-97BE-14B5-096038F85537}"/>
            </a:ext>
            <a:ext uri="{147F2762-F138-4A5C-976F-8EAC2B608ADB}">
              <a16:predDERef xmlns:a16="http://schemas.microsoft.com/office/drawing/2014/main" pred="{6D24D2AC-6A0D-90AA-5153-DF9F27B14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C1C96B08A62B47E/Dashboard_improved.xlsx" TargetMode="External"/><Relationship Id="rId1" Type="http://schemas.openxmlformats.org/officeDocument/2006/relationships/externalLinkPath" Target="Dashboard_improv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8C1C96B08A62B47E" itemId="8C1C96B08A62B47E!s57739338372147ff97fee3587d45f2e0">
      <xxl21:absoluteUrl r:id="rId2"/>
    </xxl21:alternateUrls>
    <sheetNames>
      <sheetName val="Данные"/>
      <sheetName val="Дашборд"/>
    </sheetNames>
    <sheetDataSet>
      <sheetData sheetId="0"/>
      <sheetData sheetId="1">
        <row r="11">
          <cell r="B11" t="str">
            <v>Продажи</v>
          </cell>
          <cell r="D11" t="str">
            <v>План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6.80359826389" createdVersion="8" refreshedVersion="8" minRefreshableVersion="3" recordCount="32" xr:uid="{6F1E4E28-B8AD-42DD-8827-13253BA443E3}">
  <cacheSource type="worksheet">
    <worksheetSource name="Таблица3"/>
  </cacheSource>
  <cacheFields count="9">
    <cacheField name="Филиал" numFmtId="0">
      <sharedItems containsBlank="1" count="4">
        <s v="Балашиха"/>
        <s v="Троицк"/>
        <s v="Центральный "/>
        <m u="1"/>
      </sharedItems>
    </cacheField>
    <cacheField name="Менеджер" numFmtId="0">
      <sharedItems/>
    </cacheField>
    <cacheField name="Продажи" numFmtId="44">
      <sharedItems containsSemiMixedTypes="0" containsString="0" containsNumber="1" containsInteger="1" minValue="80800" maxValue="394150"/>
    </cacheField>
    <cacheField name="Звонки " numFmtId="0">
      <sharedItems containsSemiMixedTypes="0" containsString="0" containsNumber="1" containsInteger="1" minValue="17" maxValue="120"/>
    </cacheField>
    <cacheField name="Встречи" numFmtId="0">
      <sharedItems containsSemiMixedTypes="0" containsString="0" containsNumber="1" containsInteger="1" minValue="0" maxValue="12"/>
    </cacheField>
    <cacheField name="План выполнен?_x000a_≥ 300 000" numFmtId="0">
      <sharedItems count="2">
        <s v="Да"/>
        <s v="Нет"/>
      </sharedItems>
    </cacheField>
    <cacheField name="Бонус" numFmtId="0">
      <sharedItems containsSemiMixedTypes="0" containsString="0" containsNumber="1" minValue="0" maxValue="19707.5"/>
    </cacheField>
    <cacheField name="Премия" numFmtId="0">
      <sharedItems containsSemiMixedTypes="0" containsString="0" containsNumber="1" minValue="0" maxValue="1897.3500000000001"/>
    </cacheField>
    <cacheField name="Активность" numFmtId="0">
      <sharedItems containsSemiMixedTypes="0" containsString="0" containsNumber="1" minValue="0" maxValue="78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s v="Ильин В.Л"/>
    <n v="378880"/>
    <n v="67"/>
    <n v="12"/>
    <x v="0"/>
    <n v="18944"/>
    <n v="1894.4"/>
    <n v="7577.6"/>
  </r>
  <r>
    <x v="0"/>
    <s v="Комаров Я.Д."/>
    <n v="364200"/>
    <n v="63"/>
    <n v="5"/>
    <x v="0"/>
    <n v="18210"/>
    <n v="1821"/>
    <n v="7284"/>
  </r>
  <r>
    <x v="0"/>
    <s v="Елисеева Е.А."/>
    <n v="300895"/>
    <n v="54"/>
    <n v="8"/>
    <x v="0"/>
    <n v="15044.75"/>
    <n v="1504.4750000000001"/>
    <n v="6017.9000000000005"/>
  </r>
  <r>
    <x v="0"/>
    <s v="Аксенова У.М."/>
    <n v="250560"/>
    <n v="27"/>
    <n v="7"/>
    <x v="1"/>
    <n v="7516.7999999999993"/>
    <n v="0"/>
    <n v="0"/>
  </r>
  <r>
    <x v="0"/>
    <s v="Лазарев П.Е."/>
    <n v="236550"/>
    <n v="92"/>
    <n v="9"/>
    <x v="1"/>
    <n v="7096.5"/>
    <n v="0"/>
    <n v="4731"/>
  </r>
  <r>
    <x v="0"/>
    <s v="Жукова В.В."/>
    <n v="203046"/>
    <n v="59"/>
    <n v="8"/>
    <x v="1"/>
    <n v="6091.38"/>
    <n v="0"/>
    <n v="0"/>
  </r>
  <r>
    <x v="0"/>
    <s v="Кузнецова А.М."/>
    <n v="197900"/>
    <n v="51"/>
    <n v="4"/>
    <x v="1"/>
    <n v="3958"/>
    <n v="0"/>
    <n v="0"/>
  </r>
  <r>
    <x v="0"/>
    <s v="Авдеева В.К."/>
    <n v="137579"/>
    <n v="58"/>
    <n v="7"/>
    <x v="1"/>
    <n v="0"/>
    <n v="0"/>
    <n v="0"/>
  </r>
  <r>
    <x v="0"/>
    <s v="Субботин Д.М."/>
    <n v="80800"/>
    <n v="120"/>
    <n v="0"/>
    <x v="1"/>
    <n v="0"/>
    <n v="0"/>
    <n v="1616"/>
  </r>
  <r>
    <x v="1"/>
    <s v="Борисов М.М"/>
    <n v="394150"/>
    <n v="88"/>
    <n v="1"/>
    <x v="0"/>
    <n v="19707.5"/>
    <n v="0"/>
    <n v="7883"/>
  </r>
  <r>
    <x v="1"/>
    <s v="Федотова А.К."/>
    <n v="379470"/>
    <n v="80"/>
    <n v="3"/>
    <x v="0"/>
    <n v="18973.5"/>
    <n v="1897.3500000000001"/>
    <n v="7589.4000000000005"/>
  </r>
  <r>
    <x v="1"/>
    <s v="Смирнов А.Т."/>
    <n v="355580"/>
    <n v="17"/>
    <n v="10"/>
    <x v="0"/>
    <n v="17779"/>
    <n v="1777.9"/>
    <n v="7111.6"/>
  </r>
  <r>
    <x v="1"/>
    <s v="Борисов Т.М."/>
    <n v="302080"/>
    <n v="46"/>
    <n v="8"/>
    <x v="0"/>
    <n v="15104"/>
    <n v="1510.4"/>
    <n v="6041.6"/>
  </r>
  <r>
    <x v="1"/>
    <s v="Быкова М.Е."/>
    <n v="279740"/>
    <n v="57"/>
    <n v="0"/>
    <x v="1"/>
    <n v="11189.6"/>
    <n v="0"/>
    <n v="0"/>
  </r>
  <r>
    <x v="1"/>
    <s v="Егорова А.А."/>
    <n v="166480"/>
    <n v="43"/>
    <n v="10"/>
    <x v="1"/>
    <n v="3329.6"/>
    <n v="0"/>
    <n v="0"/>
  </r>
  <r>
    <x v="1"/>
    <s v="Корнеев А.М."/>
    <n v="88510"/>
    <n v="50"/>
    <n v="0"/>
    <x v="1"/>
    <n v="0"/>
    <n v="0"/>
    <n v="0"/>
  </r>
  <r>
    <x v="2"/>
    <s v="Пахомов И.К."/>
    <n v="380585"/>
    <n v="96"/>
    <n v="1"/>
    <x v="0"/>
    <n v="19029.25"/>
    <n v="0"/>
    <n v="7611.7"/>
  </r>
  <r>
    <x v="2"/>
    <s v="Куликов Ф.Д."/>
    <n v="373865"/>
    <n v="59"/>
    <n v="5"/>
    <x v="0"/>
    <n v="18693.25"/>
    <n v="1869.325"/>
    <n v="7477.3"/>
  </r>
  <r>
    <x v="2"/>
    <s v="Малахова В.А."/>
    <n v="343360"/>
    <n v="95"/>
    <n v="4"/>
    <x v="0"/>
    <n v="17168"/>
    <n v="1716.8"/>
    <n v="6867.2"/>
  </r>
  <r>
    <x v="2"/>
    <s v="Парфенова А.К."/>
    <n v="237800"/>
    <n v="91"/>
    <n v="0"/>
    <x v="1"/>
    <n v="7134"/>
    <n v="0"/>
    <n v="4756"/>
  </r>
  <r>
    <x v="2"/>
    <s v="Ильин Г.Г."/>
    <n v="228379"/>
    <n v="79"/>
    <n v="3"/>
    <x v="1"/>
    <n v="6851.37"/>
    <n v="0"/>
    <n v="4567.58"/>
  </r>
  <r>
    <x v="2"/>
    <s v="Пантелеева А.Ю."/>
    <n v="226899"/>
    <n v="68"/>
    <n v="2"/>
    <x v="1"/>
    <n v="6806.9699999999993"/>
    <n v="0"/>
    <n v="4537.9800000000005"/>
  </r>
  <r>
    <x v="2"/>
    <s v="Громова Е.Ф."/>
    <n v="216149"/>
    <n v="95"/>
    <n v="5"/>
    <x v="1"/>
    <n v="6484.4699999999993"/>
    <n v="0"/>
    <n v="4322.9800000000005"/>
  </r>
  <r>
    <x v="2"/>
    <s v="Рубцов Д.А."/>
    <n v="205348"/>
    <n v="39"/>
    <n v="7"/>
    <x v="1"/>
    <n v="6160.44"/>
    <n v="0"/>
    <n v="0"/>
  </r>
  <r>
    <x v="2"/>
    <s v="Буров А.Л."/>
    <n v="175230"/>
    <n v="92"/>
    <n v="4"/>
    <x v="1"/>
    <n v="3504.6"/>
    <n v="0"/>
    <n v="3504.6"/>
  </r>
  <r>
    <x v="2"/>
    <s v="Алексеева М.П."/>
    <n v="165500"/>
    <n v="34"/>
    <n v="9"/>
    <x v="1"/>
    <n v="3310"/>
    <n v="0"/>
    <n v="0"/>
  </r>
  <r>
    <x v="2"/>
    <s v="Емельянов М.А."/>
    <n v="109200"/>
    <n v="21"/>
    <n v="10"/>
    <x v="1"/>
    <n v="0"/>
    <n v="0"/>
    <n v="0"/>
  </r>
  <r>
    <x v="2"/>
    <s v="Басов Е.М."/>
    <n v="104950"/>
    <n v="73"/>
    <n v="7"/>
    <x v="1"/>
    <n v="0"/>
    <n v="0"/>
    <n v="2099"/>
  </r>
  <r>
    <x v="2"/>
    <s v="Федотова Е.Д."/>
    <n v="100645"/>
    <n v="17"/>
    <n v="9"/>
    <x v="1"/>
    <n v="0"/>
    <n v="0"/>
    <n v="0"/>
  </r>
  <r>
    <x v="2"/>
    <s v="Андреева Е.П."/>
    <n v="97400"/>
    <n v="66"/>
    <n v="0"/>
    <x v="1"/>
    <n v="0"/>
    <n v="0"/>
    <n v="1948"/>
  </r>
  <r>
    <x v="2"/>
    <s v="Абрамов П.И"/>
    <n v="92000"/>
    <n v="85"/>
    <n v="1"/>
    <x v="1"/>
    <n v="0"/>
    <n v="0"/>
    <n v="1840"/>
  </r>
  <r>
    <x v="2"/>
    <s v="Маркова В.А."/>
    <n v="83305"/>
    <n v="25"/>
    <n v="9"/>
    <x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B95B0-5BE7-46F4-80A6-8BF043C6B7A3}" name="Сводная таблица1" cacheId="3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multipleFieldFilters="0" chartFormat="3">
  <location ref="A3:D7" firstHeaderRow="0" firstDataRow="1" firstDataCol="1"/>
  <pivotFields count="9">
    <pivotField axis="axisRow" compact="0" outline="0" showAll="0">
      <items count="5">
        <item x="0"/>
        <item x="1"/>
        <item n="Центральный" x="2"/>
        <item m="1" x="3"/>
        <item t="default"/>
      </items>
    </pivotField>
    <pivotField dataField="1" compact="0" outline="0" showAll="0"/>
    <pivotField dataField="1" compact="0" numFmtId="44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Продажи" fld="2" baseField="0" baseItem="0" numFmtId="44"/>
    <dataField name="Сумма по полю Бонус" fld="6" baseField="0" baseItem="0"/>
    <dataField name="Количество по полю Менеджер" fld="1" subtotal="count" baseField="0" baseItem="0"/>
  </dataFields>
  <formats count="14">
    <format dxfId="41">
      <pivotArea field="0" type="button" dataOnly="0" labelOnly="1" outline="0" axis="axisRow" fieldPosition="0"/>
    </format>
    <format dxfId="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field="0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5">
      <pivotArea type="all" dataOnly="0" outline="0" fieldPosition="0"/>
    </format>
    <format dxfId="46">
      <pivotArea outline="0" collapsedLevelsAreSubtotals="1" fieldPosition="0"/>
    </format>
    <format dxfId="47">
      <pivotArea dataOnly="0" labelOnly="1" outline="0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9">
      <pivotArea type="all" dataOnly="0" outline="0" fieldPosition="0"/>
    </format>
    <format dxfId="50">
      <pivotArea outline="0" collapsedLevelsAreSubtotals="1" fieldPosition="0"/>
    </format>
    <format dxfId="51">
      <pivotArea field="0" type="button" dataOnly="0" labelOnly="1" outline="0" axis="axisRow" fieldPosition="0"/>
    </format>
    <format dxfId="52">
      <pivotArea dataOnly="0" labelOnly="1" outline="0" fieldPosition="0">
        <references count="1">
          <reference field="0" count="0"/>
        </references>
      </pivotArea>
    </format>
    <format dxfId="53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455796-B972-446C-805F-992EA3F410AA}" name="Таблица1" displayName="Таблица1" ref="A1:E38" totalsRowShown="0" headerRowDxfId="40" dataDxfId="39" headerRowBorderDxfId="38">
  <autoFilter ref="A1:E38" xr:uid="{5B455796-B972-446C-805F-992EA3F410AA}"/>
  <tableColumns count="5">
    <tableColumn id="1" xr3:uid="{E1161A7C-15FC-41DE-AE22-8117A80C1059}" name="Филиал" dataDxfId="37"/>
    <tableColumn id="2" xr3:uid="{103B0580-BB6C-4C64-B035-A23CC20EFD21}" name="Менеджер" dataDxfId="36"/>
    <tableColumn id="3" xr3:uid="{B6820415-1184-4110-87AC-4FAFCBEC3415}" name="Продажи" dataDxfId="35" dataCellStyle="Денежный"/>
    <tableColumn id="4" xr3:uid="{1EF72979-B87D-4E8B-A99A-2C321978B2E6}" name="Звонки " dataDxfId="34"/>
    <tableColumn id="5" xr3:uid="{202B3C70-7394-4072-826B-DDA171817FD6}" name="Встречи" dataDxfId="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0FA177-0214-447D-8E3E-4BB06D6B4E85}" name="Таблица2" displayName="Таблица2" ref="A1:E34" totalsRowShown="0" headerRowDxfId="29" dataDxfId="28" headerRowBorderDxfId="27">
  <autoFilter ref="A1:E34" xr:uid="{E10FA177-0214-447D-8E3E-4BB06D6B4E85}"/>
  <tableColumns count="5">
    <tableColumn id="1" xr3:uid="{59EB414D-217C-4878-8D5A-2AD4137D2C59}" name="Менеджер" dataDxfId="26"/>
    <tableColumn id="2" xr3:uid="{A38E2D3F-B411-400D-B505-BB0A0756965D}" name="Продажи" dataDxfId="25" dataCellStyle="Денежный"/>
    <tableColumn id="3" xr3:uid="{3E5692D0-FB0C-4C18-ACE6-460610500EB1}" name="Доля" dataDxfId="24"/>
    <tableColumn id="4" xr3:uid="{0AC921E0-21CA-46B7-B857-34A24916422D}" name="Накопительный итог" dataDxfId="23"/>
    <tableColumn id="5" xr3:uid="{A55FE3F0-B98E-4739-BD00-A86BC1DBC929}" name="Категория АВС" dataDxfId="2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411448-8494-4694-AAD3-3D8B11D1503A}" name="Таблица3" displayName="Таблица3" ref="A9:I41" totalsRowShown="0" headerRowDxfId="17" dataDxfId="16" headerRowBorderDxfId="15">
  <autoFilter ref="A9:I41" xr:uid="{A8411448-8494-4694-AAD3-3D8B11D1503A}"/>
  <sortState xmlns:xlrd2="http://schemas.microsoft.com/office/spreadsheetml/2017/richdata2" ref="A10:I41">
    <sortCondition ref="A9:A41"/>
  </sortState>
  <tableColumns count="9">
    <tableColumn id="1" xr3:uid="{8D70E7A5-0330-4B57-9A6C-19B88D8CFCDA}" name="Филиал" dataDxfId="14"/>
    <tableColumn id="2" xr3:uid="{97868713-C876-435C-ABBA-098DF2664F6D}" name="Менеджер" dataDxfId="13"/>
    <tableColumn id="3" xr3:uid="{F14E8113-E1F8-463A-B0A3-84BB86EDA515}" name="Продажи" dataDxfId="12" dataCellStyle="Денежный"/>
    <tableColumn id="4" xr3:uid="{ACE102CA-78AD-41EA-A8E2-9B777BA4BE74}" name="Звонки " dataDxfId="11"/>
    <tableColumn id="5" xr3:uid="{C97EA2B4-6EF8-4899-8647-2C454CB12116}" name="Встречи" dataDxfId="10"/>
    <tableColumn id="6" xr3:uid="{769E2BAC-C0F5-4D37-A006-6A90A69A54A0}" name="План выполнен?_x000a_≥ 300 000" dataDxfId="9">
      <calculatedColumnFormula>IF(C10&gt;=$E$3,"Да","Нет")</calculatedColumnFormula>
    </tableColumn>
    <tableColumn id="7" xr3:uid="{B530D669-2998-4A81-834B-EEF2BC4CFDCF}" name="Бонус" dataDxfId="8">
      <calculatedColumnFormula>IF(C10&gt;=$A$6,C10*$B$6,IF(C10&gt;=$A$5,C10*$B$5,IF(C10&gt;=$A$4,C10*$B$4,IF(C10&gt;=$A$3,C10*$B$3,0))))</calculatedColumnFormula>
    </tableColumn>
    <tableColumn id="8" xr3:uid="{8445F8B7-2510-45AE-A902-427618266717}" name="Премия" dataDxfId="7">
      <calculatedColumnFormula>IF(AND(C10&gt;$E$3,NOT(E10&lt;$E$6)),C10*$E$7,0)</calculatedColumnFormula>
    </tableColumn>
    <tableColumn id="9" xr3:uid="{41C8607B-5B1B-47E9-8CC3-A59295F2E595}" name="Активность" dataDxfId="6">
      <calculatedColumnFormula>IF(OR(C10&gt;$E$3,D10&gt;$E$4),C10*$E$5,0)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DDB90C-291F-45DA-A3ED-8BBE3B21AE57}" name="Таблица7" displayName="Таблица7" ref="F3:I7" totalsRowShown="0" headerRowDxfId="5" dataDxfId="4">
  <autoFilter ref="F3:I7" xr:uid="{A1DDB90C-291F-45DA-A3ED-8BBE3B21AE57}"/>
  <tableColumns count="4">
    <tableColumn id="1" xr3:uid="{2EE4199C-B390-407B-BD68-9548D77A3B1D}" name="Филиал" dataDxfId="3"/>
    <tableColumn id="2" xr3:uid="{9F1CB794-ADE3-4797-AAB4-7D5940DA074C}" name="Да" dataDxfId="2"/>
    <tableColumn id="3" xr3:uid="{FA176330-C5CB-4150-A6F6-52F8116B1F99}" name="Нет" dataDxfId="1"/>
    <tableColumn id="4" xr3:uid="{70ED2639-D4E6-4B91-964E-F1F11B76B07F}" name="% выполнения" dataDxfId="0">
      <calculatedColumnFormula>G4/D4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1E28-3C9B-4FEE-99E3-CA411374FC96}">
  <dimension ref="A1:F39"/>
  <sheetViews>
    <sheetView tabSelected="1" workbookViewId="0">
      <selection activeCell="E38" sqref="E1:E38"/>
    </sheetView>
  </sheetViews>
  <sheetFormatPr defaultRowHeight="15"/>
  <cols>
    <col min="1" max="1" width="20.5703125" bestFit="1" customWidth="1"/>
    <col min="2" max="2" width="17.85546875" bestFit="1" customWidth="1"/>
    <col min="3" max="3" width="19.28515625" bestFit="1" customWidth="1"/>
    <col min="4" max="4" width="11.5703125" bestFit="1" customWidth="1"/>
    <col min="5" max="5" width="12" bestFit="1" customWidth="1"/>
  </cols>
  <sheetData>
    <row r="1" spans="1:6" ht="22.5" customHeight="1">
      <c r="A1" s="11" t="s">
        <v>0</v>
      </c>
      <c r="B1" s="11" t="s">
        <v>1</v>
      </c>
      <c r="C1" s="11" t="s">
        <v>2</v>
      </c>
      <c r="D1" s="11" t="s">
        <v>3</v>
      </c>
      <c r="E1" s="117" t="s">
        <v>4</v>
      </c>
      <c r="F1" s="1"/>
    </row>
    <row r="2" spans="1:6">
      <c r="A2" s="54" t="s">
        <v>5</v>
      </c>
      <c r="B2" s="107" t="s">
        <v>6</v>
      </c>
      <c r="C2" s="56">
        <v>92000</v>
      </c>
      <c r="D2" s="55">
        <v>85</v>
      </c>
      <c r="E2" s="118">
        <v>1</v>
      </c>
      <c r="F2" s="1"/>
    </row>
    <row r="3" spans="1:6">
      <c r="A3" s="53" t="s">
        <v>5</v>
      </c>
      <c r="B3" s="55" t="s">
        <v>7</v>
      </c>
      <c r="C3" s="56">
        <v>165500</v>
      </c>
      <c r="D3" s="55">
        <v>34</v>
      </c>
      <c r="E3" s="118">
        <v>9</v>
      </c>
      <c r="F3" s="1"/>
    </row>
    <row r="4" spans="1:6">
      <c r="A4" s="53" t="s">
        <v>5</v>
      </c>
      <c r="B4" s="55" t="s">
        <v>8</v>
      </c>
      <c r="C4" s="56">
        <v>97400</v>
      </c>
      <c r="D4" s="55">
        <v>66</v>
      </c>
      <c r="E4" s="118">
        <v>0</v>
      </c>
      <c r="F4" s="1"/>
    </row>
    <row r="5" spans="1:6">
      <c r="A5" s="53" t="s">
        <v>5</v>
      </c>
      <c r="B5" s="55" t="s">
        <v>9</v>
      </c>
      <c r="C5" s="56">
        <v>104950</v>
      </c>
      <c r="D5" s="55">
        <v>73</v>
      </c>
      <c r="E5" s="118">
        <v>7</v>
      </c>
      <c r="F5" s="1"/>
    </row>
    <row r="6" spans="1:6">
      <c r="A6" s="53" t="s">
        <v>5</v>
      </c>
      <c r="B6" s="55" t="s">
        <v>10</v>
      </c>
      <c r="C6" s="56">
        <v>175230</v>
      </c>
      <c r="D6" s="55">
        <v>92</v>
      </c>
      <c r="E6" s="118">
        <v>4</v>
      </c>
      <c r="F6" s="1"/>
    </row>
    <row r="7" spans="1:6">
      <c r="A7" s="53" t="s">
        <v>5</v>
      </c>
      <c r="B7" s="55" t="s">
        <v>11</v>
      </c>
      <c r="C7" s="56">
        <v>216149</v>
      </c>
      <c r="D7" s="55">
        <v>95</v>
      </c>
      <c r="E7" s="118">
        <v>5</v>
      </c>
      <c r="F7" s="1"/>
    </row>
    <row r="8" spans="1:6">
      <c r="A8" s="53" t="s">
        <v>5</v>
      </c>
      <c r="B8" s="55" t="s">
        <v>12</v>
      </c>
      <c r="C8" s="56">
        <v>109200</v>
      </c>
      <c r="D8" s="55">
        <v>21</v>
      </c>
      <c r="E8" s="118">
        <v>10</v>
      </c>
      <c r="F8" s="1"/>
    </row>
    <row r="9" spans="1:6">
      <c r="A9" s="53" t="s">
        <v>5</v>
      </c>
      <c r="B9" s="55" t="s">
        <v>13</v>
      </c>
      <c r="C9" s="56">
        <v>228379</v>
      </c>
      <c r="D9" s="55">
        <v>79</v>
      </c>
      <c r="E9" s="118">
        <v>3</v>
      </c>
      <c r="F9" s="1"/>
    </row>
    <row r="10" spans="1:6">
      <c r="A10" s="53" t="s">
        <v>5</v>
      </c>
      <c r="B10" s="55" t="s">
        <v>14</v>
      </c>
      <c r="C10" s="56">
        <v>373865</v>
      </c>
      <c r="D10" s="55">
        <v>59</v>
      </c>
      <c r="E10" s="118">
        <v>5</v>
      </c>
      <c r="F10" s="1"/>
    </row>
    <row r="11" spans="1:6">
      <c r="A11" s="53" t="s">
        <v>5</v>
      </c>
      <c r="B11" s="55" t="s">
        <v>15</v>
      </c>
      <c r="C11" s="56">
        <v>343360</v>
      </c>
      <c r="D11" s="55">
        <v>95</v>
      </c>
      <c r="E11" s="118">
        <v>4</v>
      </c>
      <c r="F11" s="1"/>
    </row>
    <row r="12" spans="1:6">
      <c r="A12" s="53" t="s">
        <v>5</v>
      </c>
      <c r="B12" s="55" t="s">
        <v>16</v>
      </c>
      <c r="C12" s="56">
        <v>83305</v>
      </c>
      <c r="D12" s="55">
        <v>25</v>
      </c>
      <c r="E12" s="118">
        <v>9</v>
      </c>
      <c r="F12" s="1"/>
    </row>
    <row r="13" spans="1:6">
      <c r="A13" s="53" t="s">
        <v>5</v>
      </c>
      <c r="B13" s="55" t="s">
        <v>17</v>
      </c>
      <c r="C13" s="56">
        <v>226899</v>
      </c>
      <c r="D13" s="55">
        <v>68</v>
      </c>
      <c r="E13" s="118">
        <v>2</v>
      </c>
      <c r="F13" s="1"/>
    </row>
    <row r="14" spans="1:6">
      <c r="A14" s="53" t="s">
        <v>5</v>
      </c>
      <c r="B14" s="55" t="s">
        <v>18</v>
      </c>
      <c r="C14" s="56">
        <v>237800</v>
      </c>
      <c r="D14" s="55">
        <v>91</v>
      </c>
      <c r="E14" s="118">
        <v>0</v>
      </c>
      <c r="F14" s="1"/>
    </row>
    <row r="15" spans="1:6">
      <c r="A15" s="53" t="s">
        <v>5</v>
      </c>
      <c r="B15" s="55" t="s">
        <v>19</v>
      </c>
      <c r="C15" s="56">
        <v>380585</v>
      </c>
      <c r="D15" s="55">
        <v>96</v>
      </c>
      <c r="E15" s="118">
        <v>1</v>
      </c>
      <c r="F15" s="1"/>
    </row>
    <row r="16" spans="1:6">
      <c r="A16" s="53" t="s">
        <v>5</v>
      </c>
      <c r="B16" s="55" t="s">
        <v>20</v>
      </c>
      <c r="C16" s="56">
        <v>205348</v>
      </c>
      <c r="D16" s="55">
        <v>39</v>
      </c>
      <c r="E16" s="118">
        <v>7</v>
      </c>
      <c r="F16" s="1"/>
    </row>
    <row r="17" spans="1:6">
      <c r="A17" s="53" t="s">
        <v>5</v>
      </c>
      <c r="B17" s="55" t="s">
        <v>21</v>
      </c>
      <c r="C17" s="56">
        <v>100645</v>
      </c>
      <c r="D17" s="55">
        <v>17</v>
      </c>
      <c r="E17" s="118">
        <v>9</v>
      </c>
      <c r="F17" s="1"/>
    </row>
    <row r="18" spans="1:6" ht="21" customHeight="1">
      <c r="A18" s="114" t="s">
        <v>22</v>
      </c>
      <c r="B18" s="114"/>
      <c r="C18" s="115">
        <f>SUM(C2:C17)</f>
        <v>3140615</v>
      </c>
      <c r="D18" s="116">
        <f>SUM(D2:D17)</f>
        <v>1035</v>
      </c>
      <c r="E18" s="119">
        <f>SUM(E2:E17)</f>
        <v>76</v>
      </c>
      <c r="F18" s="1"/>
    </row>
    <row r="19" spans="1:6">
      <c r="A19" s="55"/>
      <c r="B19" s="55"/>
      <c r="C19" s="55"/>
      <c r="D19" s="55"/>
      <c r="E19" s="118"/>
      <c r="F19" s="1"/>
    </row>
    <row r="20" spans="1:6">
      <c r="A20" s="108" t="s">
        <v>23</v>
      </c>
      <c r="B20" s="109" t="s">
        <v>24</v>
      </c>
      <c r="C20" s="110">
        <v>302080</v>
      </c>
      <c r="D20" s="111">
        <v>46</v>
      </c>
      <c r="E20" s="120">
        <v>8</v>
      </c>
      <c r="F20" s="1"/>
    </row>
    <row r="21" spans="1:6">
      <c r="A21" s="50" t="s">
        <v>23</v>
      </c>
      <c r="B21" s="107" t="s">
        <v>25</v>
      </c>
      <c r="C21" s="56">
        <v>394150</v>
      </c>
      <c r="D21" s="55">
        <v>88</v>
      </c>
      <c r="E21" s="118">
        <v>1</v>
      </c>
      <c r="F21" s="1"/>
    </row>
    <row r="22" spans="1:6">
      <c r="A22" s="50" t="s">
        <v>23</v>
      </c>
      <c r="B22" s="107" t="s">
        <v>26</v>
      </c>
      <c r="C22" s="56">
        <v>279740</v>
      </c>
      <c r="D22" s="55">
        <v>57</v>
      </c>
      <c r="E22" s="118">
        <v>0</v>
      </c>
      <c r="F22" s="1"/>
    </row>
    <row r="23" spans="1:6">
      <c r="A23" s="50" t="s">
        <v>23</v>
      </c>
      <c r="B23" s="107" t="s">
        <v>27</v>
      </c>
      <c r="C23" s="56">
        <v>166480</v>
      </c>
      <c r="D23" s="55">
        <v>43</v>
      </c>
      <c r="E23" s="118">
        <v>10</v>
      </c>
      <c r="F23" s="1"/>
    </row>
    <row r="24" spans="1:6">
      <c r="A24" s="50" t="s">
        <v>23</v>
      </c>
      <c r="B24" s="107" t="s">
        <v>28</v>
      </c>
      <c r="C24" s="56">
        <v>88510</v>
      </c>
      <c r="D24" s="55">
        <v>50</v>
      </c>
      <c r="E24" s="118">
        <v>0</v>
      </c>
      <c r="F24" s="1"/>
    </row>
    <row r="25" spans="1:6">
      <c r="A25" s="50" t="s">
        <v>23</v>
      </c>
      <c r="B25" s="107" t="s">
        <v>29</v>
      </c>
      <c r="C25" s="56">
        <v>355580</v>
      </c>
      <c r="D25" s="55">
        <v>17</v>
      </c>
      <c r="E25" s="118">
        <v>10</v>
      </c>
      <c r="F25" s="1"/>
    </row>
    <row r="26" spans="1:6">
      <c r="A26" s="50" t="s">
        <v>23</v>
      </c>
      <c r="B26" s="107" t="s">
        <v>30</v>
      </c>
      <c r="C26" s="56">
        <v>379470</v>
      </c>
      <c r="D26" s="55">
        <v>80</v>
      </c>
      <c r="E26" s="118">
        <v>3</v>
      </c>
      <c r="F26" s="1"/>
    </row>
    <row r="27" spans="1:6" ht="21" customHeight="1">
      <c r="A27" s="114" t="s">
        <v>22</v>
      </c>
      <c r="B27" s="114"/>
      <c r="C27" s="115">
        <f>SUM(C20:C26)</f>
        <v>1966010</v>
      </c>
      <c r="D27" s="116">
        <f>SUM(D20:D26)</f>
        <v>381</v>
      </c>
      <c r="E27" s="119">
        <f>SUM(E20:E26)</f>
        <v>32</v>
      </c>
      <c r="F27" s="1"/>
    </row>
    <row r="28" spans="1:6">
      <c r="A28" s="55"/>
      <c r="B28" s="55"/>
      <c r="C28" s="55"/>
      <c r="D28" s="55"/>
      <c r="E28" s="118"/>
      <c r="F28" s="1"/>
    </row>
    <row r="29" spans="1:6">
      <c r="A29" s="108" t="s">
        <v>31</v>
      </c>
      <c r="B29" s="109" t="s">
        <v>32</v>
      </c>
      <c r="C29" s="110">
        <v>137579</v>
      </c>
      <c r="D29" s="111">
        <v>58</v>
      </c>
      <c r="E29" s="120">
        <v>7</v>
      </c>
      <c r="F29" s="1"/>
    </row>
    <row r="30" spans="1:6">
      <c r="A30" s="53" t="s">
        <v>31</v>
      </c>
      <c r="B30" s="55" t="s">
        <v>33</v>
      </c>
      <c r="C30" s="56">
        <v>250560</v>
      </c>
      <c r="D30" s="55">
        <v>27</v>
      </c>
      <c r="E30" s="118">
        <v>7</v>
      </c>
      <c r="F30" s="1"/>
    </row>
    <row r="31" spans="1:6">
      <c r="A31" s="53" t="s">
        <v>31</v>
      </c>
      <c r="B31" s="55" t="s">
        <v>34</v>
      </c>
      <c r="C31" s="56">
        <v>300895</v>
      </c>
      <c r="D31" s="55">
        <v>54</v>
      </c>
      <c r="E31" s="118">
        <v>8</v>
      </c>
      <c r="F31" s="1"/>
    </row>
    <row r="32" spans="1:6">
      <c r="A32" s="53" t="s">
        <v>31</v>
      </c>
      <c r="B32" s="55" t="s">
        <v>35</v>
      </c>
      <c r="C32" s="56">
        <v>203046</v>
      </c>
      <c r="D32" s="55">
        <v>59</v>
      </c>
      <c r="E32" s="118">
        <v>8</v>
      </c>
      <c r="F32" s="1"/>
    </row>
    <row r="33" spans="1:6">
      <c r="A33" s="53" t="s">
        <v>31</v>
      </c>
      <c r="B33" s="55" t="s">
        <v>36</v>
      </c>
      <c r="C33" s="56">
        <v>378880</v>
      </c>
      <c r="D33" s="55">
        <v>67</v>
      </c>
      <c r="E33" s="118">
        <v>12</v>
      </c>
      <c r="F33" s="1"/>
    </row>
    <row r="34" spans="1:6">
      <c r="A34" s="53" t="s">
        <v>31</v>
      </c>
      <c r="B34" s="55" t="s">
        <v>37</v>
      </c>
      <c r="C34" s="56">
        <v>364200</v>
      </c>
      <c r="D34" s="55">
        <v>63</v>
      </c>
      <c r="E34" s="118">
        <v>5</v>
      </c>
      <c r="F34" s="1"/>
    </row>
    <row r="35" spans="1:6">
      <c r="A35" s="53" t="s">
        <v>31</v>
      </c>
      <c r="B35" s="55" t="s">
        <v>38</v>
      </c>
      <c r="C35" s="56">
        <v>197900</v>
      </c>
      <c r="D35" s="55">
        <v>51</v>
      </c>
      <c r="E35" s="118">
        <v>4</v>
      </c>
      <c r="F35" s="1"/>
    </row>
    <row r="36" spans="1:6">
      <c r="A36" s="53" t="s">
        <v>31</v>
      </c>
      <c r="B36" s="55" t="s">
        <v>39</v>
      </c>
      <c r="C36" s="56">
        <v>236550</v>
      </c>
      <c r="D36" s="55">
        <v>92</v>
      </c>
      <c r="E36" s="118">
        <v>9</v>
      </c>
      <c r="F36" s="1"/>
    </row>
    <row r="37" spans="1:6">
      <c r="A37" s="53" t="s">
        <v>31</v>
      </c>
      <c r="B37" s="55" t="s">
        <v>40</v>
      </c>
      <c r="C37" s="56">
        <v>80800</v>
      </c>
      <c r="D37" s="55">
        <v>120</v>
      </c>
      <c r="E37" s="118">
        <v>0</v>
      </c>
      <c r="F37" s="1"/>
    </row>
    <row r="38" spans="1:6" ht="21" customHeight="1">
      <c r="A38" s="111" t="s">
        <v>22</v>
      </c>
      <c r="B38" s="111"/>
      <c r="C38" s="112">
        <f>SUM(C29:C37)</f>
        <v>2150410</v>
      </c>
      <c r="D38" s="113">
        <f>SUM(D29:D37)</f>
        <v>591</v>
      </c>
      <c r="E38" s="121">
        <f>SUM(E29:E37)</f>
        <v>60</v>
      </c>
      <c r="F38" s="1"/>
    </row>
    <row r="39" spans="1:6">
      <c r="A39" s="1"/>
      <c r="B39" s="1"/>
      <c r="C39" s="1"/>
      <c r="D39" s="1"/>
      <c r="E39" s="1"/>
      <c r="F3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FFD6-CAF6-44E1-A53C-6D8AB3939D60}">
  <dimension ref="A1:F38"/>
  <sheetViews>
    <sheetView topLeftCell="A7" workbookViewId="0">
      <selection activeCell="C16" sqref="C16"/>
    </sheetView>
  </sheetViews>
  <sheetFormatPr defaultRowHeight="15" outlineLevelRow="1"/>
  <cols>
    <col min="1" max="1" width="14.28515625" bestFit="1" customWidth="1"/>
    <col min="2" max="4" width="15.28515625" bestFit="1" customWidth="1"/>
    <col min="5" max="5" width="9" customWidth="1"/>
    <col min="6" max="6" width="9.5703125" customWidth="1"/>
  </cols>
  <sheetData>
    <row r="1" spans="1:6" ht="15.75" hidden="1" outlineLevel="1">
      <c r="A1" s="6" t="s">
        <v>0</v>
      </c>
      <c r="B1" s="6" t="s">
        <v>2</v>
      </c>
      <c r="C1" s="6" t="s">
        <v>3</v>
      </c>
      <c r="D1" s="6" t="s">
        <v>4</v>
      </c>
    </row>
    <row r="2" spans="1:6" hidden="1" outlineLevel="1">
      <c r="A2" s="7" t="s">
        <v>5</v>
      </c>
      <c r="B2" s="8">
        <v>3140615</v>
      </c>
      <c r="C2" s="1">
        <v>1035</v>
      </c>
      <c r="D2" s="1">
        <v>76</v>
      </c>
    </row>
    <row r="3" spans="1:6" hidden="1" outlineLevel="1">
      <c r="A3" s="7"/>
      <c r="B3" s="2"/>
      <c r="C3" s="1"/>
      <c r="D3" s="1"/>
    </row>
    <row r="4" spans="1:6" hidden="1" outlineLevel="1">
      <c r="A4" s="7" t="s">
        <v>23</v>
      </c>
      <c r="B4" s="2">
        <v>1966010</v>
      </c>
      <c r="C4" s="1">
        <v>381</v>
      </c>
      <c r="D4" s="1">
        <v>32</v>
      </c>
    </row>
    <row r="5" spans="1:6" hidden="1" outlineLevel="1">
      <c r="A5" s="7"/>
      <c r="B5" s="2"/>
      <c r="C5" s="1"/>
      <c r="D5" s="1"/>
    </row>
    <row r="6" spans="1:6" hidden="1" outlineLevel="1">
      <c r="A6" s="7" t="s">
        <v>31</v>
      </c>
      <c r="B6" s="2">
        <v>2150410</v>
      </c>
      <c r="C6" s="1">
        <v>591</v>
      </c>
      <c r="D6" s="1">
        <v>60</v>
      </c>
    </row>
    <row r="7" spans="1:6" collapsed="1">
      <c r="A7" s="7"/>
      <c r="B7" s="2"/>
      <c r="C7" s="1"/>
      <c r="D7" s="1"/>
      <c r="E7" s="1"/>
    </row>
    <row r="8" spans="1:6" ht="18" customHeight="1">
      <c r="A8" s="15" t="s">
        <v>0</v>
      </c>
      <c r="B8" s="16" t="s">
        <v>5</v>
      </c>
      <c r="C8" s="16" t="s">
        <v>23</v>
      </c>
      <c r="D8" s="16" t="s">
        <v>31</v>
      </c>
      <c r="E8" s="7"/>
      <c r="F8" s="7"/>
    </row>
    <row r="9" spans="1:6" ht="21" customHeight="1">
      <c r="A9" s="15" t="s">
        <v>2</v>
      </c>
      <c r="B9" s="12">
        <v>3140615</v>
      </c>
      <c r="C9" s="13">
        <v>1966010</v>
      </c>
      <c r="D9" s="13">
        <v>2150410</v>
      </c>
      <c r="E9" s="2"/>
      <c r="F9" s="2"/>
    </row>
    <row r="10" spans="1:6" ht="18" customHeight="1">
      <c r="A10" s="15" t="s">
        <v>3</v>
      </c>
      <c r="B10" s="14">
        <v>1035</v>
      </c>
      <c r="C10" s="14">
        <v>381</v>
      </c>
      <c r="D10" s="14">
        <v>591</v>
      </c>
      <c r="E10" s="1"/>
      <c r="F10" s="1"/>
    </row>
    <row r="11" spans="1:6" ht="18" customHeight="1">
      <c r="A11" s="15" t="s">
        <v>4</v>
      </c>
      <c r="B11" s="14">
        <v>76</v>
      </c>
      <c r="C11" s="14">
        <v>32</v>
      </c>
      <c r="D11" s="14">
        <v>60</v>
      </c>
      <c r="E11" s="1"/>
      <c r="F11" s="1"/>
    </row>
    <row r="12" spans="1:6">
      <c r="A12" s="7"/>
      <c r="B12" s="2"/>
      <c r="C12" s="1"/>
      <c r="D12" s="1"/>
      <c r="E12" s="1"/>
    </row>
    <row r="13" spans="1:6">
      <c r="A13" s="7"/>
      <c r="B13" s="2"/>
      <c r="C13" s="1"/>
      <c r="D13" s="1"/>
    </row>
    <row r="14" spans="1:6">
      <c r="A14" s="7"/>
      <c r="B14" s="2"/>
      <c r="C14" s="1"/>
      <c r="D14" s="1"/>
    </row>
    <row r="15" spans="1:6">
      <c r="A15" s="7"/>
      <c r="B15" s="2"/>
      <c r="C15" s="1"/>
      <c r="D15" s="1"/>
    </row>
    <row r="16" spans="1:6">
      <c r="A16" s="7"/>
      <c r="B16" s="2"/>
      <c r="C16" s="1"/>
      <c r="D16" s="1"/>
    </row>
    <row r="17" spans="1:4">
      <c r="A17" s="7"/>
      <c r="B17" s="2"/>
      <c r="C17" s="1"/>
      <c r="D17" s="1"/>
    </row>
    <row r="18" spans="1:4" ht="15.75">
      <c r="A18" s="3"/>
      <c r="B18" s="4"/>
      <c r="C18" s="3"/>
      <c r="D18" s="3"/>
    </row>
    <row r="19" spans="1:4">
      <c r="A19" s="1"/>
      <c r="B19" s="1"/>
      <c r="C19" s="1"/>
      <c r="D19" s="1"/>
    </row>
    <row r="20" spans="1:4">
      <c r="A20" s="102"/>
      <c r="B20" s="2"/>
      <c r="C20" s="1"/>
      <c r="D20" s="1"/>
    </row>
    <row r="21" spans="1:4">
      <c r="A21" s="102"/>
      <c r="B21" s="2"/>
      <c r="C21" s="1"/>
      <c r="D21" s="1"/>
    </row>
    <row r="22" spans="1:4">
      <c r="A22" s="102"/>
      <c r="B22" s="2"/>
      <c r="C22" s="1"/>
      <c r="D22" s="1"/>
    </row>
    <row r="23" spans="1:4">
      <c r="A23" s="102"/>
      <c r="B23" s="2"/>
      <c r="C23" s="1"/>
      <c r="D23" s="1"/>
    </row>
    <row r="24" spans="1:4">
      <c r="A24" s="102"/>
      <c r="B24" s="2"/>
      <c r="C24" s="1"/>
      <c r="D24" s="1"/>
    </row>
    <row r="25" spans="1:4">
      <c r="A25" s="102"/>
      <c r="B25" s="2"/>
      <c r="C25" s="1"/>
      <c r="D25" s="1"/>
    </row>
    <row r="26" spans="1:4">
      <c r="A26" s="102"/>
      <c r="B26" s="2"/>
      <c r="C26" s="1"/>
      <c r="D26" s="1"/>
    </row>
    <row r="27" spans="1:4" ht="15.75">
      <c r="A27" s="3"/>
      <c r="B27" s="4"/>
      <c r="C27" s="3"/>
      <c r="D27" s="3"/>
    </row>
    <row r="28" spans="1:4">
      <c r="A28" s="1"/>
      <c r="B28" s="1"/>
      <c r="C28" s="1"/>
      <c r="D28" s="1"/>
    </row>
    <row r="29" spans="1:4">
      <c r="A29" s="102"/>
      <c r="B29" s="2"/>
      <c r="C29" s="1"/>
      <c r="D29" s="1"/>
    </row>
    <row r="30" spans="1:4">
      <c r="A30" s="102"/>
      <c r="B30" s="2"/>
      <c r="C30" s="1"/>
      <c r="D30" s="1"/>
    </row>
    <row r="31" spans="1:4">
      <c r="A31" s="102"/>
      <c r="B31" s="2"/>
      <c r="C31" s="1"/>
      <c r="D31" s="1"/>
    </row>
    <row r="32" spans="1:4">
      <c r="A32" s="102"/>
      <c r="B32" s="2"/>
      <c r="C32" s="1"/>
      <c r="D32" s="1"/>
    </row>
    <row r="33" spans="1:4">
      <c r="A33" s="102"/>
      <c r="B33" s="2"/>
      <c r="C33" s="1"/>
      <c r="D33" s="1"/>
    </row>
    <row r="34" spans="1:4">
      <c r="A34" s="102"/>
      <c r="B34" s="2"/>
      <c r="C34" s="1"/>
      <c r="D34" s="1"/>
    </row>
    <row r="35" spans="1:4">
      <c r="A35" s="102"/>
      <c r="B35" s="2"/>
      <c r="C35" s="1"/>
      <c r="D35" s="1"/>
    </row>
    <row r="36" spans="1:4">
      <c r="A36" s="102"/>
      <c r="B36" s="2"/>
      <c r="C36" s="1"/>
      <c r="D36" s="1"/>
    </row>
    <row r="37" spans="1:4">
      <c r="A37" s="102"/>
      <c r="B37" s="2"/>
      <c r="C37" s="1"/>
      <c r="D37" s="1"/>
    </row>
    <row r="38" spans="1:4" ht="15.75">
      <c r="A38" s="3"/>
      <c r="B38" s="5"/>
      <c r="C38" s="3"/>
      <c r="D38" s="3"/>
    </row>
  </sheetData>
  <mergeCells count="2">
    <mergeCell ref="A20:A26"/>
    <mergeCell ref="A29:A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457AC-A9AB-4C1A-8636-1ED7FC8B7BE8}">
  <dimension ref="A1:E38"/>
  <sheetViews>
    <sheetView workbookViewId="0">
      <selection activeCell="H28" sqref="H28"/>
    </sheetView>
  </sheetViews>
  <sheetFormatPr defaultRowHeight="15"/>
  <cols>
    <col min="1" max="1" width="17.140625" bestFit="1" customWidth="1"/>
    <col min="2" max="2" width="15.28515625" bestFit="1" customWidth="1"/>
    <col min="3" max="3" width="10.42578125" customWidth="1"/>
    <col min="4" max="4" width="25.85546875" customWidth="1"/>
    <col min="5" max="5" width="19.7109375" customWidth="1"/>
  </cols>
  <sheetData>
    <row r="1" spans="1:5" ht="21.75" customHeight="1">
      <c r="A1" s="11" t="s">
        <v>1</v>
      </c>
      <c r="B1" s="11" t="s">
        <v>2</v>
      </c>
      <c r="C1" s="11" t="s">
        <v>41</v>
      </c>
      <c r="D1" s="11" t="s">
        <v>42</v>
      </c>
      <c r="E1" s="11" t="s">
        <v>43</v>
      </c>
    </row>
    <row r="2" spans="1:5">
      <c r="A2" s="58" t="s">
        <v>25</v>
      </c>
      <c r="B2" s="59">
        <v>394150</v>
      </c>
      <c r="C2" s="60">
        <f>B2/$B$34</f>
        <v>5.4312815082192656E-2</v>
      </c>
      <c r="D2" s="61">
        <f>C2</f>
        <v>5.4312815082192656E-2</v>
      </c>
      <c r="E2" s="62" t="str">
        <f>IF(D2&lt;=0.8,"A",IF(D2&lt;=0.95,"B","C"))</f>
        <v>A</v>
      </c>
    </row>
    <row r="3" spans="1:5">
      <c r="A3" s="58" t="s">
        <v>19</v>
      </c>
      <c r="B3" s="59">
        <v>380585</v>
      </c>
      <c r="C3" s="60">
        <f t="shared" ref="C3:C33" si="0">B3/$B$34</f>
        <v>5.24435943880662E-2</v>
      </c>
      <c r="D3" s="61">
        <f>C3+D2</f>
        <v>0.10675640947025886</v>
      </c>
      <c r="E3" s="62" t="str">
        <f>IF(D3&lt;=0.8,"A",IF(D3&lt;=0.95,"B","C"))</f>
        <v>A</v>
      </c>
    </row>
    <row r="4" spans="1:5">
      <c r="A4" s="58" t="s">
        <v>30</v>
      </c>
      <c r="B4" s="59">
        <v>379470</v>
      </c>
      <c r="C4" s="60">
        <f t="shared" si="0"/>
        <v>5.228995037229392E-2</v>
      </c>
      <c r="D4" s="61">
        <f t="shared" ref="D4:D33" si="1">C4+D3</f>
        <v>0.15904635984255278</v>
      </c>
      <c r="E4" s="62" t="str">
        <f t="shared" ref="E3:E33" si="2">IF(D4&lt;=0.8,"A",IF(D4&lt;=0.95,"B","C"))</f>
        <v>A</v>
      </c>
    </row>
    <row r="5" spans="1:5">
      <c r="A5" s="58" t="s">
        <v>36</v>
      </c>
      <c r="B5" s="59">
        <v>378880</v>
      </c>
      <c r="C5" s="60">
        <f t="shared" si="0"/>
        <v>5.2208649951391996E-2</v>
      </c>
      <c r="D5" s="61">
        <f t="shared" si="1"/>
        <v>0.21125500979394476</v>
      </c>
      <c r="E5" s="62" t="str">
        <f t="shared" si="2"/>
        <v>A</v>
      </c>
    </row>
    <row r="6" spans="1:5">
      <c r="A6" s="58" t="s">
        <v>14</v>
      </c>
      <c r="B6" s="59">
        <v>373865</v>
      </c>
      <c r="C6" s="60">
        <f t="shared" si="0"/>
        <v>5.1517596373725633E-2</v>
      </c>
      <c r="D6" s="61">
        <f t="shared" si="1"/>
        <v>0.2627726061676704</v>
      </c>
      <c r="E6" s="62" t="str">
        <f t="shared" si="2"/>
        <v>A</v>
      </c>
    </row>
    <row r="7" spans="1:5">
      <c r="A7" s="58" t="s">
        <v>37</v>
      </c>
      <c r="B7" s="59">
        <v>364200</v>
      </c>
      <c r="C7" s="60">
        <f t="shared" si="0"/>
        <v>5.0185785241493253E-2</v>
      </c>
      <c r="D7" s="61">
        <f t="shared" si="1"/>
        <v>0.31295839140916365</v>
      </c>
      <c r="E7" s="62" t="str">
        <f t="shared" si="2"/>
        <v>A</v>
      </c>
    </row>
    <row r="8" spans="1:5">
      <c r="A8" s="58" t="s">
        <v>29</v>
      </c>
      <c r="B8" s="59">
        <v>355580</v>
      </c>
      <c r="C8" s="60">
        <f t="shared" si="0"/>
        <v>4.8997972312383779E-2</v>
      </c>
      <c r="D8" s="61">
        <f t="shared" si="1"/>
        <v>0.36195636372154744</v>
      </c>
      <c r="E8" s="62" t="str">
        <f t="shared" si="2"/>
        <v>A</v>
      </c>
    </row>
    <row r="9" spans="1:5">
      <c r="A9" s="58" t="s">
        <v>15</v>
      </c>
      <c r="B9" s="59">
        <v>343360</v>
      </c>
      <c r="C9" s="60">
        <f t="shared" si="0"/>
        <v>4.7314089018448996E-2</v>
      </c>
      <c r="D9" s="61">
        <f t="shared" si="1"/>
        <v>0.4092704527399964</v>
      </c>
      <c r="E9" s="62" t="str">
        <f t="shared" si="2"/>
        <v>A</v>
      </c>
    </row>
    <row r="10" spans="1:5">
      <c r="A10" s="58" t="s">
        <v>24</v>
      </c>
      <c r="B10" s="59">
        <v>302080</v>
      </c>
      <c r="C10" s="60">
        <f t="shared" si="0"/>
        <v>4.1625815501785506E-2</v>
      </c>
      <c r="D10" s="61">
        <f t="shared" si="1"/>
        <v>0.45089626824178192</v>
      </c>
      <c r="E10" s="62" t="str">
        <f t="shared" si="2"/>
        <v>A</v>
      </c>
    </row>
    <row r="11" spans="1:5">
      <c r="A11" s="58" t="s">
        <v>34</v>
      </c>
      <c r="B11" s="59">
        <v>300895</v>
      </c>
      <c r="C11" s="60">
        <f t="shared" si="0"/>
        <v>4.1462525673363844E-2</v>
      </c>
      <c r="D11" s="61">
        <f t="shared" si="1"/>
        <v>0.49235879391514575</v>
      </c>
      <c r="E11" s="62" t="str">
        <f t="shared" si="2"/>
        <v>A</v>
      </c>
    </row>
    <row r="12" spans="1:5">
      <c r="A12" s="58" t="s">
        <v>26</v>
      </c>
      <c r="B12" s="59">
        <v>279740</v>
      </c>
      <c r="C12" s="60">
        <f t="shared" si="0"/>
        <v>3.8547423293397373E-2</v>
      </c>
      <c r="D12" s="61">
        <f t="shared" si="1"/>
        <v>0.53090621720854314</v>
      </c>
      <c r="E12" s="62" t="str">
        <f t="shared" si="2"/>
        <v>A</v>
      </c>
    </row>
    <row r="13" spans="1:5">
      <c r="A13" s="58" t="s">
        <v>33</v>
      </c>
      <c r="B13" s="59">
        <v>250560</v>
      </c>
      <c r="C13" s="60">
        <f t="shared" si="0"/>
        <v>3.452649739184116E-2</v>
      </c>
      <c r="D13" s="61">
        <f t="shared" si="1"/>
        <v>0.56543271460038436</v>
      </c>
      <c r="E13" s="62" t="str">
        <f t="shared" si="2"/>
        <v>A</v>
      </c>
    </row>
    <row r="14" spans="1:5">
      <c r="A14" s="58" t="s">
        <v>18</v>
      </c>
      <c r="B14" s="59">
        <v>237800</v>
      </c>
      <c r="C14" s="60">
        <f t="shared" si="0"/>
        <v>3.2768203543182578E-2</v>
      </c>
      <c r="D14" s="61">
        <f t="shared" si="1"/>
        <v>0.59820091814356691</v>
      </c>
      <c r="E14" s="62" t="str">
        <f t="shared" si="2"/>
        <v>A</v>
      </c>
    </row>
    <row r="15" spans="1:5">
      <c r="A15" s="58" t="s">
        <v>39</v>
      </c>
      <c r="B15" s="59">
        <v>236550</v>
      </c>
      <c r="C15" s="60">
        <f t="shared" si="0"/>
        <v>3.2595956888729349E-2</v>
      </c>
      <c r="D15" s="61">
        <f t="shared" si="1"/>
        <v>0.63079687503229631</v>
      </c>
      <c r="E15" s="62" t="str">
        <f t="shared" si="2"/>
        <v>A</v>
      </c>
    </row>
    <row r="16" spans="1:5">
      <c r="A16" s="58" t="s">
        <v>13</v>
      </c>
      <c r="B16" s="59">
        <v>228379</v>
      </c>
      <c r="C16" s="60">
        <f t="shared" si="0"/>
        <v>3.1470014957899473E-2</v>
      </c>
      <c r="D16" s="61">
        <f t="shared" si="1"/>
        <v>0.66226688999019578</v>
      </c>
      <c r="E16" s="62" t="str">
        <f t="shared" si="2"/>
        <v>A</v>
      </c>
    </row>
    <row r="17" spans="1:5">
      <c r="A17" s="58" t="s">
        <v>17</v>
      </c>
      <c r="B17" s="59">
        <v>226899</v>
      </c>
      <c r="C17" s="60">
        <f t="shared" si="0"/>
        <v>3.1266074919026846E-2</v>
      </c>
      <c r="D17" s="61">
        <f t="shared" si="1"/>
        <v>0.69353296490922267</v>
      </c>
      <c r="E17" s="62" t="str">
        <f t="shared" si="2"/>
        <v>A</v>
      </c>
    </row>
    <row r="18" spans="1:5">
      <c r="A18" s="58" t="s">
        <v>11</v>
      </c>
      <c r="B18" s="59">
        <v>216149</v>
      </c>
      <c r="C18" s="60">
        <f t="shared" si="0"/>
        <v>2.9784753690729065E-2</v>
      </c>
      <c r="D18" s="61">
        <f t="shared" si="1"/>
        <v>0.72331771859995175</v>
      </c>
      <c r="E18" s="62" t="str">
        <f t="shared" si="2"/>
        <v>A</v>
      </c>
    </row>
    <row r="19" spans="1:5">
      <c r="A19" s="58" t="s">
        <v>20</v>
      </c>
      <c r="B19" s="59">
        <v>205348</v>
      </c>
      <c r="C19" s="60">
        <f t="shared" si="0"/>
        <v>2.829640479892959E-2</v>
      </c>
      <c r="D19" s="61">
        <f t="shared" si="1"/>
        <v>0.75161412339888134</v>
      </c>
      <c r="E19" s="62" t="str">
        <f t="shared" si="2"/>
        <v>A</v>
      </c>
    </row>
    <row r="20" spans="1:5">
      <c r="A20" s="63" t="s">
        <v>35</v>
      </c>
      <c r="B20" s="64">
        <v>203046</v>
      </c>
      <c r="C20" s="65">
        <f t="shared" si="0"/>
        <v>2.797919536008852E-2</v>
      </c>
      <c r="D20" s="66">
        <f t="shared" si="1"/>
        <v>0.77959331875896987</v>
      </c>
      <c r="E20" s="67" t="str">
        <f t="shared" si="2"/>
        <v>A</v>
      </c>
    </row>
    <row r="21" spans="1:5">
      <c r="A21" s="58" t="s">
        <v>38</v>
      </c>
      <c r="B21" s="59">
        <v>197900</v>
      </c>
      <c r="C21" s="60">
        <f t="shared" si="0"/>
        <v>2.7270090333035461E-2</v>
      </c>
      <c r="D21" s="61">
        <f t="shared" si="1"/>
        <v>0.80686340909200538</v>
      </c>
      <c r="E21" s="62" t="str">
        <f t="shared" si="2"/>
        <v>B</v>
      </c>
    </row>
    <row r="22" spans="1:5">
      <c r="A22" s="58" t="s">
        <v>10</v>
      </c>
      <c r="B22" s="59">
        <v>175230</v>
      </c>
      <c r="C22" s="60">
        <f t="shared" si="0"/>
        <v>2.4146225007871672E-2</v>
      </c>
      <c r="D22" s="61">
        <f t="shared" si="1"/>
        <v>0.83100963409987705</v>
      </c>
      <c r="E22" s="62" t="str">
        <f t="shared" si="2"/>
        <v>B</v>
      </c>
    </row>
    <row r="23" spans="1:5">
      <c r="A23" s="58" t="s">
        <v>27</v>
      </c>
      <c r="B23" s="59">
        <v>166480</v>
      </c>
      <c r="C23" s="60">
        <f t="shared" si="0"/>
        <v>2.2940498426699058E-2</v>
      </c>
      <c r="D23" s="61">
        <f t="shared" si="1"/>
        <v>0.85395013252657614</v>
      </c>
      <c r="E23" s="62" t="str">
        <f t="shared" si="2"/>
        <v>B</v>
      </c>
    </row>
    <row r="24" spans="1:5">
      <c r="A24" s="58" t="s">
        <v>7</v>
      </c>
      <c r="B24" s="59">
        <v>165500</v>
      </c>
      <c r="C24" s="60">
        <f t="shared" si="0"/>
        <v>2.2805457049607725E-2</v>
      </c>
      <c r="D24" s="61">
        <f t="shared" si="1"/>
        <v>0.87675558957618382</v>
      </c>
      <c r="E24" s="62" t="str">
        <f t="shared" si="2"/>
        <v>B</v>
      </c>
    </row>
    <row r="25" spans="1:5">
      <c r="A25" s="58" t="s">
        <v>32</v>
      </c>
      <c r="B25" s="59">
        <v>137579</v>
      </c>
      <c r="C25" s="60">
        <f t="shared" si="0"/>
        <v>1.8958017978416807E-2</v>
      </c>
      <c r="D25" s="61">
        <f t="shared" si="1"/>
        <v>0.89571360755460061</v>
      </c>
      <c r="E25" s="62" t="str">
        <f t="shared" si="2"/>
        <v>B</v>
      </c>
    </row>
    <row r="26" spans="1:5">
      <c r="A26" s="58" t="s">
        <v>12</v>
      </c>
      <c r="B26" s="59">
        <v>109200</v>
      </c>
      <c r="C26" s="60">
        <f t="shared" si="0"/>
        <v>1.5047467733034222E-2</v>
      </c>
      <c r="D26" s="61">
        <f t="shared" si="1"/>
        <v>0.91076107528763484</v>
      </c>
      <c r="E26" s="62" t="str">
        <f t="shared" si="2"/>
        <v>B</v>
      </c>
    </row>
    <row r="27" spans="1:5">
      <c r="A27" s="58" t="s">
        <v>9</v>
      </c>
      <c r="B27" s="59">
        <v>104950</v>
      </c>
      <c r="C27" s="60">
        <f t="shared" si="0"/>
        <v>1.4461829107893237E-2</v>
      </c>
      <c r="D27" s="61">
        <f t="shared" si="1"/>
        <v>0.92522290439552812</v>
      </c>
      <c r="E27" s="62" t="str">
        <f t="shared" si="2"/>
        <v>B</v>
      </c>
    </row>
    <row r="28" spans="1:5">
      <c r="A28" s="63" t="s">
        <v>21</v>
      </c>
      <c r="B28" s="64">
        <v>100645</v>
      </c>
      <c r="C28" s="65">
        <f t="shared" si="0"/>
        <v>1.3868611629956311E-2</v>
      </c>
      <c r="D28" s="66">
        <f t="shared" si="1"/>
        <v>0.93909151602548446</v>
      </c>
      <c r="E28" s="67" t="str">
        <f t="shared" si="2"/>
        <v>B</v>
      </c>
    </row>
    <row r="29" spans="1:5">
      <c r="A29" s="58" t="s">
        <v>8</v>
      </c>
      <c r="B29" s="59">
        <v>97400</v>
      </c>
      <c r="C29" s="60">
        <f t="shared" si="0"/>
        <v>1.3421459314995724E-2</v>
      </c>
      <c r="D29" s="61">
        <f t="shared" si="1"/>
        <v>0.95251297534048018</v>
      </c>
      <c r="E29" s="62" t="str">
        <f t="shared" si="2"/>
        <v>C</v>
      </c>
    </row>
    <row r="30" spans="1:5">
      <c r="A30" s="58" t="s">
        <v>6</v>
      </c>
      <c r="B30" s="59">
        <v>92000</v>
      </c>
      <c r="C30" s="60">
        <f t="shared" si="0"/>
        <v>1.2677353767757769E-2</v>
      </c>
      <c r="D30" s="61">
        <f t="shared" si="1"/>
        <v>0.96519032910823799</v>
      </c>
      <c r="E30" s="62" t="str">
        <f t="shared" si="2"/>
        <v>C</v>
      </c>
    </row>
    <row r="31" spans="1:5">
      <c r="A31" s="58" t="s">
        <v>28</v>
      </c>
      <c r="B31" s="59">
        <v>88510</v>
      </c>
      <c r="C31" s="60">
        <f t="shared" si="0"/>
        <v>1.219644110852435E-2</v>
      </c>
      <c r="D31" s="61">
        <f t="shared" si="1"/>
        <v>0.97738677021676235</v>
      </c>
      <c r="E31" s="62" t="str">
        <f t="shared" si="2"/>
        <v>C</v>
      </c>
    </row>
    <row r="32" spans="1:5">
      <c r="A32" s="58" t="s">
        <v>16</v>
      </c>
      <c r="B32" s="59">
        <v>83305</v>
      </c>
      <c r="C32" s="60">
        <f t="shared" si="0"/>
        <v>1.1479206039381098E-2</v>
      </c>
      <c r="D32" s="61">
        <f t="shared" si="1"/>
        <v>0.98886597625614348</v>
      </c>
      <c r="E32" s="62" t="str">
        <f t="shared" si="2"/>
        <v>C</v>
      </c>
    </row>
    <row r="33" spans="1:5">
      <c r="A33" s="58" t="s">
        <v>40</v>
      </c>
      <c r="B33" s="59">
        <v>80800</v>
      </c>
      <c r="C33" s="60">
        <f t="shared" si="0"/>
        <v>1.1134023743856823E-2</v>
      </c>
      <c r="D33" s="61">
        <f t="shared" si="1"/>
        <v>1.0000000000000002</v>
      </c>
      <c r="E33" s="62" t="str">
        <f t="shared" si="2"/>
        <v>C</v>
      </c>
    </row>
    <row r="34" spans="1:5" ht="21.75" customHeight="1">
      <c r="A34" s="57" t="s">
        <v>44</v>
      </c>
      <c r="B34" s="68">
        <f>SUM(B2:B33)</f>
        <v>7257035</v>
      </c>
      <c r="C34" s="55"/>
      <c r="D34" s="55"/>
      <c r="E34" s="55"/>
    </row>
    <row r="38" spans="1:5">
      <c r="A38" s="1"/>
      <c r="B38" s="10"/>
    </row>
  </sheetData>
  <sortState xmlns:xlrd2="http://schemas.microsoft.com/office/spreadsheetml/2017/richdata2" ref="A2:B38">
    <sortCondition descending="1" ref="B2:B38"/>
  </sortState>
  <conditionalFormatting sqref="E2:E20">
    <cfRule type="containsText" dxfId="32" priority="3" operator="containsText" text="A">
      <formula>NOT(ISERROR(SEARCH("A",E2)))</formula>
    </cfRule>
  </conditionalFormatting>
  <conditionalFormatting sqref="E21:E28">
    <cfRule type="containsText" dxfId="31" priority="2" operator="containsText" text="B">
      <formula>NOT(ISERROR(SEARCH("B",E21)))</formula>
    </cfRule>
  </conditionalFormatting>
  <conditionalFormatting sqref="E29:E33">
    <cfRule type="containsText" dxfId="30" priority="1" operator="containsText" text="C">
      <formula>NOT(ISERROR(SEARCH("C",E29)))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0E14C-1C13-484B-8562-6E5F41A3CD51}">
  <dimension ref="A1:I78"/>
  <sheetViews>
    <sheetView workbookViewId="0">
      <selection activeCell="F19" sqref="F19"/>
    </sheetView>
  </sheetViews>
  <sheetFormatPr defaultRowHeight="15"/>
  <cols>
    <col min="1" max="1" width="23" customWidth="1"/>
    <col min="2" max="2" width="18.140625" bestFit="1" customWidth="1"/>
    <col min="3" max="3" width="16.42578125" bestFit="1" customWidth="1"/>
    <col min="4" max="9" width="19.5703125" customWidth="1"/>
    <col min="10" max="10" width="18" bestFit="1" customWidth="1"/>
    <col min="11" max="11" width="9.7109375" bestFit="1" customWidth="1"/>
    <col min="13" max="13" width="12.5703125" bestFit="1" customWidth="1"/>
  </cols>
  <sheetData>
    <row r="1" spans="1:9" ht="18.75" customHeight="1">
      <c r="A1" s="104" t="s">
        <v>45</v>
      </c>
      <c r="B1" s="104"/>
      <c r="C1" s="1"/>
      <c r="D1" s="103" t="s">
        <v>46</v>
      </c>
      <c r="E1" s="103"/>
    </row>
    <row r="2" spans="1:9" ht="36.75" customHeight="1">
      <c r="A2" s="30" t="s">
        <v>47</v>
      </c>
      <c r="B2" s="29" t="s">
        <v>48</v>
      </c>
      <c r="C2" s="23"/>
      <c r="D2" s="28" t="s">
        <v>49</v>
      </c>
      <c r="E2" s="28" t="s">
        <v>50</v>
      </c>
    </row>
    <row r="3" spans="1:9">
      <c r="A3" s="2">
        <v>150000</v>
      </c>
      <c r="B3" s="18">
        <v>0.02</v>
      </c>
      <c r="C3" s="1"/>
      <c r="D3" s="19" t="s">
        <v>51</v>
      </c>
      <c r="E3" s="20">
        <v>300000</v>
      </c>
    </row>
    <row r="4" spans="1:9">
      <c r="A4" s="2">
        <v>200000</v>
      </c>
      <c r="B4" s="18">
        <v>0.03</v>
      </c>
      <c r="C4" s="1"/>
      <c r="D4" s="19" t="s">
        <v>52</v>
      </c>
      <c r="E4" s="21">
        <v>60</v>
      </c>
    </row>
    <row r="5" spans="1:9">
      <c r="A5" s="2">
        <v>275000</v>
      </c>
      <c r="B5" s="18">
        <v>0.04</v>
      </c>
      <c r="C5" s="1"/>
      <c r="D5" s="19" t="s">
        <v>53</v>
      </c>
      <c r="E5" s="22">
        <v>0.02</v>
      </c>
    </row>
    <row r="6" spans="1:9">
      <c r="A6" s="24">
        <v>300000</v>
      </c>
      <c r="B6" s="25">
        <v>0.05</v>
      </c>
      <c r="C6" s="1"/>
      <c r="D6" s="48" t="s">
        <v>54</v>
      </c>
      <c r="E6" s="21">
        <v>3</v>
      </c>
    </row>
    <row r="7" spans="1:9">
      <c r="A7" s="106"/>
      <c r="B7" s="106"/>
      <c r="C7" s="106"/>
      <c r="D7" s="17" t="s">
        <v>55</v>
      </c>
      <c r="E7" s="26">
        <v>5.0000000000000001E-3</v>
      </c>
    </row>
    <row r="8" spans="1:9" ht="25.5" customHeight="1">
      <c r="A8" s="105" t="s">
        <v>56</v>
      </c>
      <c r="B8" s="105"/>
      <c r="C8" s="105"/>
      <c r="D8" s="105"/>
      <c r="E8" s="105"/>
      <c r="F8" s="105"/>
      <c r="G8" s="105"/>
      <c r="H8" s="105"/>
      <c r="I8" s="105"/>
    </row>
    <row r="9" spans="1:9" ht="36" customHeight="1">
      <c r="A9" s="31" t="s">
        <v>0</v>
      </c>
      <c r="B9" s="27" t="s">
        <v>1</v>
      </c>
      <c r="C9" s="31" t="s">
        <v>2</v>
      </c>
      <c r="D9" s="31" t="s">
        <v>3</v>
      </c>
      <c r="E9" s="31" t="s">
        <v>4</v>
      </c>
      <c r="F9" s="42" t="s">
        <v>57</v>
      </c>
      <c r="G9" s="31" t="s">
        <v>58</v>
      </c>
      <c r="H9" s="31" t="s">
        <v>59</v>
      </c>
      <c r="I9" s="31" t="s">
        <v>60</v>
      </c>
    </row>
    <row r="10" spans="1:9" ht="17.25" customHeight="1">
      <c r="A10" s="72" t="s">
        <v>31</v>
      </c>
      <c r="B10" s="51" t="s">
        <v>36</v>
      </c>
      <c r="C10" s="39">
        <v>378880</v>
      </c>
      <c r="D10" s="34">
        <v>67</v>
      </c>
      <c r="E10" s="44">
        <v>12</v>
      </c>
      <c r="F10" s="35" t="str">
        <f>IF(C10&gt;=$E$3,"Да","Нет")</f>
        <v>Да</v>
      </c>
      <c r="G10" s="34">
        <f>IF(C10&gt;=$A$6,C10*$B$6,IF(C10&gt;=$A$5,C10*$B$5,IF(C10&gt;=$A$4,C10*$B$4,IF(C10&gt;=$A$3,C10*$B$3,0))))</f>
        <v>18944</v>
      </c>
      <c r="H10" s="43">
        <f>IF(AND(C10&gt;$E$3,NOT(E10&lt;$E$6)),C10*$E$7,0)</f>
        <v>1894.4</v>
      </c>
      <c r="I10" s="36">
        <f>IF(OR(C10&gt;$E$3,D10&gt;$E$4),C10*$E$5,0)</f>
        <v>7577.6</v>
      </c>
    </row>
    <row r="11" spans="1:9" ht="17.25" customHeight="1">
      <c r="A11" s="70" t="s">
        <v>31</v>
      </c>
      <c r="B11" s="51" t="s">
        <v>37</v>
      </c>
      <c r="C11" s="40">
        <v>364200</v>
      </c>
      <c r="D11" s="32">
        <v>63</v>
      </c>
      <c r="E11" s="32">
        <v>5</v>
      </c>
      <c r="F11" s="46" t="str">
        <f>IF(C11&gt;=$E$3,"Да","Нет")</f>
        <v>Да</v>
      </c>
      <c r="G11" s="32">
        <f>IF(C11&gt;=$A$6,C11*$B$6,IF(C11&gt;=$A$5,C11*$B$5,IF(C11&gt;=$A$4,C11*$B$4,IF(C11&gt;=$A$3,C11*$B$3,0))))</f>
        <v>18210</v>
      </c>
      <c r="H11" s="44">
        <f>IF(AND(C11&gt;$E$3,NOT(E11&lt;$E$6)),C11*$E$7,0)</f>
        <v>1821</v>
      </c>
      <c r="I11" s="37">
        <f>IF(OR(C11&gt;$E$3,D11&gt;$E$4),C11*$E$5,0)</f>
        <v>7284</v>
      </c>
    </row>
    <row r="12" spans="1:9" ht="17.25" customHeight="1">
      <c r="A12" s="70" t="s">
        <v>31</v>
      </c>
      <c r="B12" s="51" t="s">
        <v>34</v>
      </c>
      <c r="C12" s="40">
        <v>300895</v>
      </c>
      <c r="D12" s="32">
        <v>54</v>
      </c>
      <c r="E12" s="32">
        <v>8</v>
      </c>
      <c r="F12" s="46" t="str">
        <f>IF(C12&gt;=$E$3,"Да","Нет")</f>
        <v>Да</v>
      </c>
      <c r="G12" s="32">
        <f>IF(C12&gt;=$A$6,C12*$B$6,IF(C12&gt;=$A$5,C12*$B$5,IF(C12&gt;=$A$4,C12*$B$4,IF(C12&gt;=$A$3,C12*$B$3,0))))</f>
        <v>15044.75</v>
      </c>
      <c r="H12" s="44">
        <f>IF(AND(C12&gt;$E$3,NOT(E12&lt;$E$6)),C12*$E$7,0)</f>
        <v>1504.4750000000001</v>
      </c>
      <c r="I12" s="37">
        <f>IF(OR(C12&gt;$E$3,D12&gt;$E$4),C12*$E$5,0)</f>
        <v>6017.9000000000005</v>
      </c>
    </row>
    <row r="13" spans="1:9" ht="17.25" customHeight="1">
      <c r="A13" s="70" t="s">
        <v>31</v>
      </c>
      <c r="B13" s="51" t="s">
        <v>33</v>
      </c>
      <c r="C13" s="40">
        <v>250560</v>
      </c>
      <c r="D13" s="32">
        <v>27</v>
      </c>
      <c r="E13" s="32">
        <v>7</v>
      </c>
      <c r="F13" s="46" t="str">
        <f>IF(C13&gt;=$E$3,"Да","Нет")</f>
        <v>Нет</v>
      </c>
      <c r="G13" s="32">
        <f>IF(C13&gt;=$A$6,C13*$B$6,IF(C13&gt;=$A$5,C13*$B$5,IF(C13&gt;=$A$4,C13*$B$4,IF(C13&gt;=$A$3,C13*$B$3,0))))</f>
        <v>7516.7999999999993</v>
      </c>
      <c r="H13" s="44">
        <f>IF(AND(C13&gt;$E$3,NOT(E13&lt;$E$6)),C13*$E$7,0)</f>
        <v>0</v>
      </c>
      <c r="I13" s="37">
        <f>IF(OR(C13&gt;$E$3,D13&gt;$E$4),C13*$E$5,0)</f>
        <v>0</v>
      </c>
    </row>
    <row r="14" spans="1:9" ht="17.25" customHeight="1">
      <c r="A14" s="70" t="s">
        <v>31</v>
      </c>
      <c r="B14" s="51" t="s">
        <v>39</v>
      </c>
      <c r="C14" s="40">
        <v>236550</v>
      </c>
      <c r="D14" s="32">
        <v>92</v>
      </c>
      <c r="E14" s="32">
        <v>9</v>
      </c>
      <c r="F14" s="46" t="str">
        <f>IF(C14&gt;=$E$3,"Да","Нет")</f>
        <v>Нет</v>
      </c>
      <c r="G14" s="32">
        <f>IF(C14&gt;=$A$6,C14*$B$6,IF(C14&gt;=$A$5,C14*$B$5,IF(C14&gt;=$A$4,C14*$B$4,IF(C14&gt;=$A$3,C14*$B$3,0))))</f>
        <v>7096.5</v>
      </c>
      <c r="H14" s="44">
        <f>IF(AND(C14&gt;$E$3,NOT(E14&lt;$E$6)),C14*$E$7,0)</f>
        <v>0</v>
      </c>
      <c r="I14" s="37">
        <f>IF(OR(C14&gt;$E$3,D14&gt;$E$4),C14*$E$5,0)</f>
        <v>4731</v>
      </c>
    </row>
    <row r="15" spans="1:9" ht="17.25" customHeight="1">
      <c r="A15" s="70" t="s">
        <v>31</v>
      </c>
      <c r="B15" s="51" t="s">
        <v>35</v>
      </c>
      <c r="C15" s="40">
        <v>203046</v>
      </c>
      <c r="D15" s="32">
        <v>59</v>
      </c>
      <c r="E15" s="32">
        <v>8</v>
      </c>
      <c r="F15" s="46" t="str">
        <f>IF(C15&gt;=$E$3,"Да","Нет")</f>
        <v>Нет</v>
      </c>
      <c r="G15" s="32">
        <f>IF(C15&gt;=$A$6,C15*$B$6,IF(C15&gt;=$A$5,C15*$B$5,IF(C15&gt;=$A$4,C15*$B$4,IF(C15&gt;=$A$3,C15*$B$3,0))))</f>
        <v>6091.38</v>
      </c>
      <c r="H15" s="44">
        <f>IF(AND(C15&gt;$E$3,NOT(E15&lt;$E$6)),C15*$E$7,0)</f>
        <v>0</v>
      </c>
      <c r="I15" s="37">
        <f>IF(OR(C15&gt;$E$3,D15&gt;$E$4),C15*$E$5,0)</f>
        <v>0</v>
      </c>
    </row>
    <row r="16" spans="1:9" ht="17.25" customHeight="1">
      <c r="A16" s="70" t="s">
        <v>31</v>
      </c>
      <c r="B16" s="51" t="s">
        <v>38</v>
      </c>
      <c r="C16" s="40">
        <v>197900</v>
      </c>
      <c r="D16" s="32">
        <v>51</v>
      </c>
      <c r="E16" s="32">
        <v>4</v>
      </c>
      <c r="F16" s="46" t="str">
        <f>IF(C16&gt;=$E$3,"Да","Нет")</f>
        <v>Нет</v>
      </c>
      <c r="G16" s="32">
        <f>IF(C16&gt;=$A$6,C16*$B$6,IF(C16&gt;=$A$5,C16*$B$5,IF(C16&gt;=$A$4,C16*$B$4,IF(C16&gt;=$A$3,C16*$B$3,0))))</f>
        <v>3958</v>
      </c>
      <c r="H16" s="44">
        <f>IF(AND(C16&gt;$E$3,NOT(E16&lt;$E$6)),C16*$E$7,0)</f>
        <v>0</v>
      </c>
      <c r="I16" s="37">
        <f>IF(OR(C16&gt;$E$3,D16&gt;$E$4),C16*$E$5,0)</f>
        <v>0</v>
      </c>
    </row>
    <row r="17" spans="1:9" ht="17.25" customHeight="1">
      <c r="A17" s="70" t="s">
        <v>31</v>
      </c>
      <c r="B17" s="51" t="s">
        <v>32</v>
      </c>
      <c r="C17" s="40">
        <v>137579</v>
      </c>
      <c r="D17" s="32">
        <v>58</v>
      </c>
      <c r="E17" s="32">
        <v>7</v>
      </c>
      <c r="F17" s="46" t="str">
        <f>IF(C17&gt;=$E$3,"Да","Нет")</f>
        <v>Нет</v>
      </c>
      <c r="G17" s="32">
        <f>IF(C17&gt;=$A$6,C17*$B$6,IF(C17&gt;=$A$5,C17*$B$5,IF(C17&gt;=$A$4,C17*$B$4,IF(C17&gt;=$A$3,C17*$B$3,0))))</f>
        <v>0</v>
      </c>
      <c r="H17" s="44">
        <f>IF(AND(C17&gt;$E$3,NOT(E17&lt;$E$6)),C17*$E$7,0)</f>
        <v>0</v>
      </c>
      <c r="I17" s="37">
        <f>IF(OR(C17&gt;$E$3,D17&gt;$E$4),C17*$E$5,0)</f>
        <v>0</v>
      </c>
    </row>
    <row r="18" spans="1:9" ht="17.25" customHeight="1">
      <c r="A18" s="70" t="s">
        <v>31</v>
      </c>
      <c r="B18" s="51" t="s">
        <v>40</v>
      </c>
      <c r="C18" s="40">
        <v>80800</v>
      </c>
      <c r="D18" s="32">
        <v>120</v>
      </c>
      <c r="E18" s="32">
        <v>0</v>
      </c>
      <c r="F18" s="46" t="str">
        <f>IF(C18&gt;=$E$3,"Да","Нет")</f>
        <v>Нет</v>
      </c>
      <c r="G18" s="32">
        <f>IF(C18&gt;=$A$6,C18*$B$6,IF(C18&gt;=$A$5,C18*$B$5,IF(C18&gt;=$A$4,C18*$B$4,IF(C18&gt;=$A$3,C18*$B$3,0))))</f>
        <v>0</v>
      </c>
      <c r="H18" s="44">
        <f>IF(AND(C18&gt;$E$3,NOT(E18&lt;$E$6)),C18*$E$7,0)</f>
        <v>0</v>
      </c>
      <c r="I18" s="37">
        <f>IF(OR(C18&gt;$E$3,D18&gt;$E$4),C18*$E$5,0)</f>
        <v>1616</v>
      </c>
    </row>
    <row r="19" spans="1:9" ht="17.25" customHeight="1">
      <c r="A19" s="72" t="s">
        <v>23</v>
      </c>
      <c r="B19" s="75" t="s">
        <v>25</v>
      </c>
      <c r="C19" s="39">
        <v>394150</v>
      </c>
      <c r="D19" s="34">
        <v>88</v>
      </c>
      <c r="E19" s="34">
        <v>1</v>
      </c>
      <c r="F19" s="79" t="str">
        <f>IF(C19&gt;=$E$3,"Да","Нет")</f>
        <v>Да</v>
      </c>
      <c r="G19" s="34">
        <f>IF(C19&gt;=$A$6,C19*$B$6,IF(C19&gt;=$A$5,C19*$B$5,IF(C19&gt;=$A$4,C19*$B$4,IF(C19&gt;=$A$3,C19*$B$3,0))))</f>
        <v>19707.5</v>
      </c>
      <c r="H19" s="43">
        <f>IF(AND(C19&gt;$E$3,NOT(E19&lt;$E$6)),C19*$E$7,0)</f>
        <v>0</v>
      </c>
      <c r="I19" s="36">
        <f>IF(OR(C19&gt;$E$3,D19&gt;$E$4),C19*$E$5,0)</f>
        <v>7883</v>
      </c>
    </row>
    <row r="20" spans="1:9" ht="17.25" customHeight="1">
      <c r="A20" s="70" t="s">
        <v>23</v>
      </c>
      <c r="B20" s="51" t="s">
        <v>30</v>
      </c>
      <c r="C20" s="40">
        <v>379470</v>
      </c>
      <c r="D20" s="32">
        <v>80</v>
      </c>
      <c r="E20" s="32">
        <v>3</v>
      </c>
      <c r="F20" s="46" t="str">
        <f>IF(C20&gt;=$E$3,"Да","Нет")</f>
        <v>Да</v>
      </c>
      <c r="G20" s="32">
        <f>IF(C20&gt;=$A$6,C20*$B$6,IF(C20&gt;=$A$5,C20*$B$5,IF(C20&gt;=$A$4,C20*$B$4,IF(C20&gt;=$A$3,C20*$B$3,0))))</f>
        <v>18973.5</v>
      </c>
      <c r="H20" s="44">
        <f>IF(AND(C20&gt;$E$3,NOT(E20&lt;$E$6)),C20*$E$7,0)</f>
        <v>1897.3500000000001</v>
      </c>
      <c r="I20" s="37">
        <f>IF(OR(C20&gt;$E$3,D20&gt;$E$4),C20*$E$5,0)</f>
        <v>7589.4000000000005</v>
      </c>
    </row>
    <row r="21" spans="1:9" ht="17.25" customHeight="1">
      <c r="A21" s="70" t="s">
        <v>23</v>
      </c>
      <c r="B21" s="51" t="s">
        <v>29</v>
      </c>
      <c r="C21" s="40">
        <v>355580</v>
      </c>
      <c r="D21" s="32">
        <v>17</v>
      </c>
      <c r="E21" s="32">
        <v>10</v>
      </c>
      <c r="F21" s="46" t="str">
        <f>IF(C21&gt;=$E$3,"Да","Нет")</f>
        <v>Да</v>
      </c>
      <c r="G21" s="32">
        <f>IF(C21&gt;=$A$6,C21*$B$6,IF(C21&gt;=$A$5,C21*$B$5,IF(C21&gt;=$A$4,C21*$B$4,IF(C21&gt;=$A$3,C21*$B$3,0))))</f>
        <v>17779</v>
      </c>
      <c r="H21" s="44">
        <f>IF(AND(C21&gt;$E$3,NOT(E21&lt;$E$6)),C21*$E$7,0)</f>
        <v>1777.9</v>
      </c>
      <c r="I21" s="37">
        <f>IF(OR(C21&gt;$E$3,D21&gt;$E$4),C21*$E$5,0)</f>
        <v>7111.6</v>
      </c>
    </row>
    <row r="22" spans="1:9" ht="17.25" customHeight="1">
      <c r="A22" s="69" t="s">
        <v>23</v>
      </c>
      <c r="B22" s="51" t="s">
        <v>24</v>
      </c>
      <c r="C22" s="40">
        <v>302080</v>
      </c>
      <c r="D22" s="32">
        <v>46</v>
      </c>
      <c r="E22" s="32">
        <v>8</v>
      </c>
      <c r="F22" s="46" t="str">
        <f>IF(C22&gt;=$E$3,"Да","Нет")</f>
        <v>Да</v>
      </c>
      <c r="G22" s="32">
        <f>IF(C22&gt;=$A$6,C22*$B$6,IF(C22&gt;=$A$5,C22*$B$5,IF(C22&gt;=$A$4,C22*$B$4,IF(C22&gt;=$A$3,C22*$B$3,0))))</f>
        <v>15104</v>
      </c>
      <c r="H22" s="44">
        <f>IF(AND(C22&gt;$E$3,NOT(E22&lt;$E$6)),C22*$E$7,0)</f>
        <v>1510.4</v>
      </c>
      <c r="I22" s="37">
        <f>IF(OR(C22&gt;$E$3,D22&gt;$E$4),C22*$E$5,0)</f>
        <v>6041.6</v>
      </c>
    </row>
    <row r="23" spans="1:9" ht="17.25" customHeight="1">
      <c r="A23" s="70" t="s">
        <v>23</v>
      </c>
      <c r="B23" s="51" t="s">
        <v>26</v>
      </c>
      <c r="C23" s="40">
        <v>279740</v>
      </c>
      <c r="D23" s="32">
        <v>57</v>
      </c>
      <c r="E23" s="32">
        <v>0</v>
      </c>
      <c r="F23" s="46" t="str">
        <f>IF(C23&gt;=$E$3,"Да","Нет")</f>
        <v>Нет</v>
      </c>
      <c r="G23" s="32">
        <f>IF(C23&gt;=$A$6,C23*$B$6,IF(C23&gt;=$A$5,C23*$B$5,IF(C23&gt;=$A$4,C23*$B$4,IF(C23&gt;=$A$3,C23*$B$3,0))))</f>
        <v>11189.6</v>
      </c>
      <c r="H23" s="44">
        <f>IF(AND(C23&gt;$E$3,NOT(E23&lt;$E$6)),C23*$E$7,0)</f>
        <v>0</v>
      </c>
      <c r="I23" s="37">
        <f>IF(OR(C23&gt;$E$3,D23&gt;$E$4),C23*$E$5,0)</f>
        <v>0</v>
      </c>
    </row>
    <row r="24" spans="1:9" ht="17.25" customHeight="1">
      <c r="A24" s="70" t="s">
        <v>23</v>
      </c>
      <c r="B24" s="51" t="s">
        <v>27</v>
      </c>
      <c r="C24" s="40">
        <v>166480</v>
      </c>
      <c r="D24" s="32">
        <v>43</v>
      </c>
      <c r="E24" s="32">
        <v>10</v>
      </c>
      <c r="F24" s="46" t="str">
        <f>IF(C24&gt;=$E$3,"Да","Нет")</f>
        <v>Нет</v>
      </c>
      <c r="G24" s="32">
        <f>IF(C24&gt;=$A$6,C24*$B$6,IF(C24&gt;=$A$5,C24*$B$5,IF(C24&gt;=$A$4,C24*$B$4,IF(C24&gt;=$A$3,C24*$B$3,0))))</f>
        <v>3329.6</v>
      </c>
      <c r="H24" s="44">
        <f>IF(AND(C24&gt;$E$3,NOT(E24&lt;$E$6)),C24*$E$7,0)</f>
        <v>0</v>
      </c>
      <c r="I24" s="37">
        <f>IF(OR(C24&gt;$E$3,D24&gt;$E$4),C24*$E$5,0)</f>
        <v>0</v>
      </c>
    </row>
    <row r="25" spans="1:9" ht="17.25" customHeight="1">
      <c r="A25" s="71" t="s">
        <v>23</v>
      </c>
      <c r="B25" s="52" t="s">
        <v>28</v>
      </c>
      <c r="C25" s="41">
        <v>88510</v>
      </c>
      <c r="D25" s="33">
        <v>50</v>
      </c>
      <c r="E25" s="33">
        <v>0</v>
      </c>
      <c r="F25" s="47" t="str">
        <f>IF(C25&gt;=$E$3,"Да","Нет")</f>
        <v>Нет</v>
      </c>
      <c r="G25" s="33">
        <f>IF(C25&gt;=$A$6,C25*$B$6,IF(C25&gt;=$A$5,C25*$B$5,IF(C25&gt;=$A$4,C25*$B$4,IF(C25&gt;=$A$3,C25*$B$3,0))))</f>
        <v>0</v>
      </c>
      <c r="H25" s="45">
        <f>IF(AND(C25&gt;$E$3,NOT(E25&lt;$E$6)),C25*$E$7,0)</f>
        <v>0</v>
      </c>
      <c r="I25" s="38">
        <f>IF(OR(C25&gt;$E$3,D25&gt;$E$4),C25*$E$5,0)</f>
        <v>0</v>
      </c>
    </row>
    <row r="26" spans="1:9" ht="17.25" customHeight="1">
      <c r="A26" s="70" t="s">
        <v>61</v>
      </c>
      <c r="B26" s="32" t="s">
        <v>19</v>
      </c>
      <c r="C26" s="40">
        <v>380585</v>
      </c>
      <c r="D26" s="32">
        <v>96</v>
      </c>
      <c r="E26" s="32">
        <v>1</v>
      </c>
      <c r="F26" s="46" t="str">
        <f>IF(C26&gt;=$E$3,"Да","Нет")</f>
        <v>Да</v>
      </c>
      <c r="G26" s="32">
        <f>IF(C26&gt;=$A$6,C26*$B$6,IF(C26&gt;=$A$5,C26*$B$5,IF(C26&gt;=$A$4,C26*$B$4,IF(C26&gt;=$A$3,C26*$B$3,0))))</f>
        <v>19029.25</v>
      </c>
      <c r="H26" s="44">
        <f>IF(AND(C26&gt;$E$3,NOT(E26&lt;$E$6)),C26*$E$7,0)</f>
        <v>0</v>
      </c>
      <c r="I26" s="37">
        <f>IF(OR(C26&gt;$E$3,D26&gt;$E$4),C26*$E$5,0)</f>
        <v>7611.7</v>
      </c>
    </row>
    <row r="27" spans="1:9" ht="17.25" customHeight="1">
      <c r="A27" s="70" t="s">
        <v>61</v>
      </c>
      <c r="B27" s="32" t="s">
        <v>14</v>
      </c>
      <c r="C27" s="40">
        <v>373865</v>
      </c>
      <c r="D27" s="32">
        <v>59</v>
      </c>
      <c r="E27" s="32">
        <v>5</v>
      </c>
      <c r="F27" s="46" t="str">
        <f>IF(C27&gt;=$E$3,"Да","Нет")</f>
        <v>Да</v>
      </c>
      <c r="G27" s="32">
        <f>IF(C27&gt;=$A$6,C27*$B$6,IF(C27&gt;=$A$5,C27*$B$5,IF(C27&gt;=$A$4,C27*$B$4,IF(C27&gt;=$A$3,C27*$B$3,0))))</f>
        <v>18693.25</v>
      </c>
      <c r="H27" s="44">
        <f>IF(AND(C27&gt;$E$3,NOT(E27&lt;$E$6)),C27*$E$7,0)</f>
        <v>1869.325</v>
      </c>
      <c r="I27" s="37">
        <f>IF(OR(C27&gt;$E$3,D27&gt;$E$4),C27*$E$5,0)</f>
        <v>7477.3</v>
      </c>
    </row>
    <row r="28" spans="1:9" ht="17.25" customHeight="1">
      <c r="A28" s="70" t="s">
        <v>61</v>
      </c>
      <c r="B28" s="32" t="s">
        <v>15</v>
      </c>
      <c r="C28" s="40">
        <v>343360</v>
      </c>
      <c r="D28" s="32">
        <v>95</v>
      </c>
      <c r="E28" s="32">
        <v>4</v>
      </c>
      <c r="F28" s="46" t="str">
        <f>IF(C28&gt;=$E$3,"Да","Нет")</f>
        <v>Да</v>
      </c>
      <c r="G28" s="32">
        <f>IF(C28&gt;=$A$6,C28*$B$6,IF(C28&gt;=$A$5,C28*$B$5,IF(C28&gt;=$A$4,C28*$B$4,IF(C28&gt;=$A$3,C28*$B$3,0))))</f>
        <v>17168</v>
      </c>
      <c r="H28" s="44">
        <f>IF(AND(C28&gt;$E$3,NOT(E28&lt;$E$6)),C28*$E$7,0)</f>
        <v>1716.8</v>
      </c>
      <c r="I28" s="37">
        <f>IF(OR(C28&gt;$E$3,D28&gt;$E$4),C28*$E$5,0)</f>
        <v>6867.2</v>
      </c>
    </row>
    <row r="29" spans="1:9" ht="17.25" customHeight="1">
      <c r="A29" s="70" t="s">
        <v>61</v>
      </c>
      <c r="B29" s="32" t="s">
        <v>18</v>
      </c>
      <c r="C29" s="40">
        <v>237800</v>
      </c>
      <c r="D29" s="32">
        <v>91</v>
      </c>
      <c r="E29" s="32">
        <v>0</v>
      </c>
      <c r="F29" s="46" t="str">
        <f>IF(C29&gt;=$E$3,"Да","Нет")</f>
        <v>Нет</v>
      </c>
      <c r="G29" s="32">
        <f>IF(C29&gt;=$A$6,C29*$B$6,IF(C29&gt;=$A$5,C29*$B$5,IF(C29&gt;=$A$4,C29*$B$4,IF(C29&gt;=$A$3,C29*$B$3,0))))</f>
        <v>7134</v>
      </c>
      <c r="H29" s="44">
        <f>IF(AND(C29&gt;$E$3,NOT(E29&lt;$E$6)),C29*$E$7,0)</f>
        <v>0</v>
      </c>
      <c r="I29" s="37">
        <f>IF(OR(C29&gt;$E$3,D29&gt;$E$4),C29*$E$5,0)</f>
        <v>4756</v>
      </c>
    </row>
    <row r="30" spans="1:9" ht="17.25" customHeight="1">
      <c r="A30" s="70" t="s">
        <v>61</v>
      </c>
      <c r="B30" s="32" t="s">
        <v>13</v>
      </c>
      <c r="C30" s="40">
        <v>228379</v>
      </c>
      <c r="D30" s="32">
        <v>79</v>
      </c>
      <c r="E30" s="32">
        <v>3</v>
      </c>
      <c r="F30" s="46" t="str">
        <f>IF(C30&gt;=$E$3,"Да","Нет")</f>
        <v>Нет</v>
      </c>
      <c r="G30" s="32">
        <f>IF(C30&gt;=$A$6,C30*$B$6,IF(C30&gt;=$A$5,C30*$B$5,IF(C30&gt;=$A$4,C30*$B$4,IF(C30&gt;=$A$3,C30*$B$3,0))))</f>
        <v>6851.37</v>
      </c>
      <c r="H30" s="44">
        <f>IF(AND(C30&gt;$E$3,NOT(E30&lt;$E$6)),C30*$E$7,0)</f>
        <v>0</v>
      </c>
      <c r="I30" s="37">
        <f>IF(OR(C30&gt;$E$3,D30&gt;$E$4),C30*$E$5,0)</f>
        <v>4567.58</v>
      </c>
    </row>
    <row r="31" spans="1:9" ht="17.25" customHeight="1">
      <c r="A31" s="70" t="s">
        <v>61</v>
      </c>
      <c r="B31" s="32" t="s">
        <v>17</v>
      </c>
      <c r="C31" s="40">
        <v>226899</v>
      </c>
      <c r="D31" s="32">
        <v>68</v>
      </c>
      <c r="E31" s="32">
        <v>2</v>
      </c>
      <c r="F31" s="46" t="str">
        <f>IF(C31&gt;=$E$3,"Да","Нет")</f>
        <v>Нет</v>
      </c>
      <c r="G31" s="32">
        <f>IF(C31&gt;=$A$6,C31*$B$6,IF(C31&gt;=$A$5,C31*$B$5,IF(C31&gt;=$A$4,C31*$B$4,IF(C31&gt;=$A$3,C31*$B$3,0))))</f>
        <v>6806.9699999999993</v>
      </c>
      <c r="H31" s="44">
        <f>IF(AND(C31&gt;$E$3,NOT(E31&lt;$E$6)),C31*$E$7,0)</f>
        <v>0</v>
      </c>
      <c r="I31" s="37">
        <f>IF(OR(C31&gt;$E$3,D31&gt;$E$4),C31*$E$5,0)</f>
        <v>4537.9800000000005</v>
      </c>
    </row>
    <row r="32" spans="1:9" ht="17.25" customHeight="1">
      <c r="A32" s="70" t="s">
        <v>61</v>
      </c>
      <c r="B32" s="44" t="s">
        <v>11</v>
      </c>
      <c r="C32" s="80">
        <v>216149</v>
      </c>
      <c r="D32" s="37">
        <v>95</v>
      </c>
      <c r="E32" s="37">
        <v>5</v>
      </c>
      <c r="F32" s="81" t="str">
        <f>IF(C32&gt;=$E$3,"Да","Нет")</f>
        <v>Нет</v>
      </c>
      <c r="G32" s="37">
        <f>IF(C32&gt;=$A$6,C32*$B$6,IF(C32&gt;=$A$5,C32*$B$5,IF(C32&gt;=$A$4,C32*$B$4,IF(C32&gt;=$A$3,C32*$B$3,0))))</f>
        <v>6484.4699999999993</v>
      </c>
      <c r="H32" s="37">
        <f>IF(AND(C32&gt;$E$3,NOT(E32&lt;$E$6)),C32*$E$7,0)</f>
        <v>0</v>
      </c>
      <c r="I32" s="37">
        <f>IF(OR(C32&gt;$E$3,D32&gt;$E$4),C32*$E$5,0)</f>
        <v>4322.9800000000005</v>
      </c>
    </row>
    <row r="33" spans="1:9" ht="17.25" customHeight="1">
      <c r="A33" s="70" t="s">
        <v>61</v>
      </c>
      <c r="B33" s="51" t="s">
        <v>20</v>
      </c>
      <c r="C33" s="40">
        <v>205348</v>
      </c>
      <c r="D33" s="32">
        <v>39</v>
      </c>
      <c r="E33" s="32">
        <v>7</v>
      </c>
      <c r="F33" s="46" t="str">
        <f>IF(C33&gt;=$E$3,"Да","Нет")</f>
        <v>Нет</v>
      </c>
      <c r="G33" s="32">
        <f>IF(C33&gt;=$A$6,C33*$B$6,IF(C33&gt;=$A$5,C33*$B$5,IF(C33&gt;=$A$4,C33*$B$4,IF(C33&gt;=$A$3,C33*$B$3,0))))</f>
        <v>6160.44</v>
      </c>
      <c r="H33" s="44">
        <f>IF(AND(C33&gt;$E$3,NOT(E33&lt;$E$6)),C33*$E$7,0)</f>
        <v>0</v>
      </c>
      <c r="I33" s="37">
        <f>IF(OR(C33&gt;$E$3,D33&gt;$E$4),C33*$E$5,0)</f>
        <v>0</v>
      </c>
    </row>
    <row r="34" spans="1:9" ht="17.25" customHeight="1">
      <c r="A34" s="70" t="s">
        <v>61</v>
      </c>
      <c r="B34" s="51" t="s">
        <v>10</v>
      </c>
      <c r="C34" s="40">
        <v>175230</v>
      </c>
      <c r="D34" s="32">
        <v>92</v>
      </c>
      <c r="E34" s="32">
        <v>4</v>
      </c>
      <c r="F34" s="46" t="str">
        <f>IF(C34&gt;=$E$3,"Да","Нет")</f>
        <v>Нет</v>
      </c>
      <c r="G34" s="32">
        <f>IF(C34&gt;=$A$6,C34*$B$6,IF(C34&gt;=$A$5,C34*$B$5,IF(C34&gt;=$A$4,C34*$B$4,IF(C34&gt;=$A$3,C34*$B$3,0))))</f>
        <v>3504.6</v>
      </c>
      <c r="H34" s="44">
        <f>IF(AND(C34&gt;$E$3,NOT(E34&lt;$E$6)),C34*$E$7,0)</f>
        <v>0</v>
      </c>
      <c r="I34" s="37">
        <f>IF(OR(C34&gt;$E$3,D34&gt;$E$4),C34*$E$5,0)</f>
        <v>3504.6</v>
      </c>
    </row>
    <row r="35" spans="1:9" ht="17.25" customHeight="1">
      <c r="A35" s="70" t="s">
        <v>61</v>
      </c>
      <c r="B35" s="51" t="s">
        <v>7</v>
      </c>
      <c r="C35" s="40">
        <v>165500</v>
      </c>
      <c r="D35" s="32">
        <v>34</v>
      </c>
      <c r="E35" s="32">
        <v>9</v>
      </c>
      <c r="F35" s="46" t="str">
        <f>IF(C35&gt;=$E$3,"Да","Нет")</f>
        <v>Нет</v>
      </c>
      <c r="G35" s="32">
        <f>IF(C35&gt;=$A$6,C35*$B$6,IF(C35&gt;=$A$5,C35*$B$5,IF(C35&gt;=$A$4,C35*$B$4,IF(C35&gt;=$A$3,C35*$B$3,0))))</f>
        <v>3310</v>
      </c>
      <c r="H35" s="44">
        <f>IF(AND(C35&gt;$E$3,NOT(E35&lt;$E$6)),C35*$E$7,0)</f>
        <v>0</v>
      </c>
      <c r="I35" s="37">
        <f>IF(OR(C35&gt;$E$3,D35&gt;$E$4),C35*$E$5,0)</f>
        <v>0</v>
      </c>
    </row>
    <row r="36" spans="1:9" ht="17.25" customHeight="1">
      <c r="A36" s="70" t="s">
        <v>61</v>
      </c>
      <c r="B36" s="51" t="s">
        <v>12</v>
      </c>
      <c r="C36" s="40">
        <v>109200</v>
      </c>
      <c r="D36" s="32">
        <v>21</v>
      </c>
      <c r="E36" s="32">
        <v>10</v>
      </c>
      <c r="F36" s="46" t="str">
        <f>IF(C36&gt;=$E$3,"Да","Нет")</f>
        <v>Нет</v>
      </c>
      <c r="G36" s="32">
        <f>IF(C36&gt;=$A$6,C36*$B$6,IF(C36&gt;=$A$5,C36*$B$5,IF(C36&gt;=$A$4,C36*$B$4,IF(C36&gt;=$A$3,C36*$B$3,0))))</f>
        <v>0</v>
      </c>
      <c r="H36" s="44">
        <f>IF(AND(C36&gt;$E$3,NOT(E36&lt;$E$6)),C36*$E$7,0)</f>
        <v>0</v>
      </c>
      <c r="I36" s="37">
        <f>IF(OR(C36&gt;$E$3,D36&gt;$E$4),C36*$E$5,0)</f>
        <v>0</v>
      </c>
    </row>
    <row r="37" spans="1:9" ht="17.25" customHeight="1">
      <c r="A37" s="70" t="s">
        <v>61</v>
      </c>
      <c r="B37" s="51" t="s">
        <v>9</v>
      </c>
      <c r="C37" s="40">
        <v>104950</v>
      </c>
      <c r="D37" s="32">
        <v>73</v>
      </c>
      <c r="E37" s="32">
        <v>7</v>
      </c>
      <c r="F37" s="46" t="str">
        <f>IF(C37&gt;=$E$3,"Да","Нет")</f>
        <v>Нет</v>
      </c>
      <c r="G37" s="32">
        <f>IF(C37&gt;=$A$6,C37*$B$6,IF(C37&gt;=$A$5,C37*$B$5,IF(C37&gt;=$A$4,C37*$B$4,IF(C37&gt;=$A$3,C37*$B$3,0))))</f>
        <v>0</v>
      </c>
      <c r="H37" s="44">
        <f>IF(AND(C37&gt;$E$3,NOT(E37&lt;$E$6)),C37*$E$7,0)</f>
        <v>0</v>
      </c>
      <c r="I37" s="37">
        <f>IF(OR(C37&gt;$E$3,D37&gt;$E$4),C37*$E$5,0)</f>
        <v>2099</v>
      </c>
    </row>
    <row r="38" spans="1:9" ht="17.25" customHeight="1">
      <c r="A38" s="70" t="s">
        <v>61</v>
      </c>
      <c r="B38" s="51" t="s">
        <v>21</v>
      </c>
      <c r="C38" s="40">
        <v>100645</v>
      </c>
      <c r="D38" s="32">
        <v>17</v>
      </c>
      <c r="E38" s="32">
        <v>9</v>
      </c>
      <c r="F38" s="46" t="str">
        <f>IF(C38&gt;=$E$3,"Да","Нет")</f>
        <v>Нет</v>
      </c>
      <c r="G38" s="32">
        <f>IF(C38&gt;=$A$6,C38*$B$6,IF(C38&gt;=$A$5,C38*$B$5,IF(C38&gt;=$A$4,C38*$B$4,IF(C38&gt;=$A$3,C38*$B$3,0))))</f>
        <v>0</v>
      </c>
      <c r="H38" s="44">
        <f>IF(AND(C38&gt;$E$3,NOT(E38&lt;$E$6)),C38*$E$7,0)</f>
        <v>0</v>
      </c>
      <c r="I38" s="37">
        <f>IF(OR(C38&gt;$E$3,D38&gt;$E$4),C38*$E$5,0)</f>
        <v>0</v>
      </c>
    </row>
    <row r="39" spans="1:9" ht="17.25" customHeight="1">
      <c r="A39" s="70" t="s">
        <v>61</v>
      </c>
      <c r="B39" s="51" t="s">
        <v>8</v>
      </c>
      <c r="C39" s="40">
        <v>97400</v>
      </c>
      <c r="D39" s="32">
        <v>66</v>
      </c>
      <c r="E39" s="32">
        <v>0</v>
      </c>
      <c r="F39" s="46" t="str">
        <f>IF(C39&gt;=$E$3,"Да","Нет")</f>
        <v>Нет</v>
      </c>
      <c r="G39" s="32">
        <f>IF(C39&gt;=$A$6,C39*$B$6,IF(C39&gt;=$A$5,C39*$B$5,IF(C39&gt;=$A$4,C39*$B$4,IF(C39&gt;=$A$3,C39*$B$3,0))))</f>
        <v>0</v>
      </c>
      <c r="H39" s="44">
        <f>IF(AND(C39&gt;$E$3,NOT(E39&lt;$E$6)),C39*$E$7,0)</f>
        <v>0</v>
      </c>
      <c r="I39" s="37">
        <f>IF(OR(C39&gt;$E$3,D39&gt;$E$4),C39*$E$5,0)</f>
        <v>1948</v>
      </c>
    </row>
    <row r="40" spans="1:9" ht="17.25" customHeight="1">
      <c r="A40" s="70" t="s">
        <v>61</v>
      </c>
      <c r="B40" s="51" t="s">
        <v>6</v>
      </c>
      <c r="C40" s="40">
        <v>92000</v>
      </c>
      <c r="D40" s="32">
        <v>85</v>
      </c>
      <c r="E40" s="32">
        <v>1</v>
      </c>
      <c r="F40" s="46" t="str">
        <f>IF(C40&gt;=$E$3,"Да","Нет")</f>
        <v>Нет</v>
      </c>
      <c r="G40" s="32">
        <f>IF(C40&gt;=$A$6,C40*$B$6,IF(C40&gt;=$A$5,C40*$B$5,IF(C40&gt;=$A$4,C40*$B$4,IF(C40&gt;=$A$3,C40*$B$3,0))))</f>
        <v>0</v>
      </c>
      <c r="H40" s="44">
        <f>IF(AND(C40&gt;$E$3,NOT(E40&lt;$E$6)),C40*$E$7,0)</f>
        <v>0</v>
      </c>
      <c r="I40" s="37">
        <f>IF(OR(C40&gt;$E$3,D40&gt;$E$4),C40*$E$5,0)</f>
        <v>1840</v>
      </c>
    </row>
    <row r="41" spans="1:9" ht="17.25" customHeight="1">
      <c r="A41" s="70" t="s">
        <v>61</v>
      </c>
      <c r="B41" s="51" t="s">
        <v>16</v>
      </c>
      <c r="C41" s="41">
        <v>83305</v>
      </c>
      <c r="D41" s="33">
        <v>25</v>
      </c>
      <c r="E41" s="33">
        <v>9</v>
      </c>
      <c r="F41" s="47" t="str">
        <f>IF(C41&gt;=$E$3,"Да","Нет")</f>
        <v>Нет</v>
      </c>
      <c r="G41" s="33">
        <f>IF(C41&gt;=$A$6,C41*$B$6,IF(C41&gt;=$A$5,C41*$B$5,IF(C41&gt;=$A$4,C41*$B$4,IF(C41&gt;=$A$3,C41*$B$3,0))))</f>
        <v>0</v>
      </c>
      <c r="H41" s="45">
        <f>IF(AND(C41&gt;$E$3,NOT(E41&lt;$E$6)),C41*$E$7,0)</f>
        <v>0</v>
      </c>
      <c r="I41" s="38">
        <f>IF(OR(C41&gt;$E$3,D41&gt;$E$4),C41*$E$5,0)</f>
        <v>0</v>
      </c>
    </row>
    <row r="44" spans="1:9" ht="15.75">
      <c r="A44" s="77"/>
      <c r="B44" s="77"/>
      <c r="C44" s="77"/>
      <c r="D44" s="82"/>
    </row>
    <row r="45" spans="1:9">
      <c r="A45" s="76"/>
      <c r="B45" s="73"/>
      <c r="C45" s="74"/>
      <c r="D45" s="82"/>
    </row>
    <row r="46" spans="1:9">
      <c r="A46" s="76"/>
      <c r="B46" s="73"/>
      <c r="C46" s="74"/>
      <c r="D46" s="82"/>
      <c r="E46" s="1"/>
      <c r="F46" s="1"/>
      <c r="G46" s="10"/>
      <c r="H46" s="9"/>
      <c r="I46" s="9"/>
    </row>
    <row r="47" spans="1:9">
      <c r="A47" s="76"/>
      <c r="B47" s="73"/>
      <c r="C47" s="74"/>
      <c r="D47" s="82"/>
    </row>
    <row r="48" spans="1:9">
      <c r="A48" s="76"/>
      <c r="B48" s="73"/>
      <c r="C48" s="74"/>
      <c r="D48" s="82"/>
    </row>
    <row r="49" spans="1:4">
      <c r="A49" s="76"/>
      <c r="B49" s="73"/>
      <c r="C49" s="74"/>
      <c r="D49" s="82"/>
    </row>
    <row r="50" spans="1:4">
      <c r="A50" s="76"/>
      <c r="B50" s="73"/>
      <c r="C50" s="74"/>
      <c r="D50" s="82"/>
    </row>
    <row r="51" spans="1:4">
      <c r="A51" s="76"/>
      <c r="B51" s="73"/>
      <c r="C51" s="74"/>
      <c r="D51" s="82"/>
    </row>
    <row r="52" spans="1:4">
      <c r="A52" s="76"/>
      <c r="B52" s="73"/>
      <c r="C52" s="74"/>
      <c r="D52" s="82"/>
    </row>
    <row r="53" spans="1:4">
      <c r="A53" s="78"/>
      <c r="B53" s="73"/>
      <c r="C53" s="74"/>
      <c r="D53" s="82"/>
    </row>
    <row r="54" spans="1:4">
      <c r="A54" s="76"/>
      <c r="B54" s="73"/>
      <c r="C54" s="74"/>
      <c r="D54" s="82"/>
    </row>
    <row r="55" spans="1:4">
      <c r="A55" s="76"/>
      <c r="B55" s="73"/>
      <c r="C55" s="74"/>
      <c r="D55" s="82"/>
    </row>
    <row r="56" spans="1:4">
      <c r="A56" s="76"/>
      <c r="B56" s="73"/>
      <c r="C56" s="74"/>
      <c r="D56" s="82"/>
    </row>
    <row r="57" spans="1:4">
      <c r="A57" s="76"/>
      <c r="B57" s="73"/>
      <c r="C57" s="74"/>
      <c r="D57" s="82"/>
    </row>
    <row r="58" spans="1:4">
      <c r="A58" s="76"/>
      <c r="B58" s="73"/>
      <c r="C58" s="74"/>
      <c r="D58" s="82"/>
    </row>
    <row r="59" spans="1:4">
      <c r="A59" s="76"/>
      <c r="B59" s="73"/>
      <c r="C59" s="74"/>
      <c r="D59" s="82"/>
    </row>
    <row r="60" spans="1:4">
      <c r="A60" s="76"/>
      <c r="B60" s="73"/>
      <c r="C60" s="74"/>
      <c r="D60" s="82"/>
    </row>
    <row r="61" spans="1:4">
      <c r="A61" s="76"/>
      <c r="B61" s="73"/>
      <c r="C61" s="74"/>
      <c r="D61" s="82"/>
    </row>
    <row r="62" spans="1:4">
      <c r="A62" s="76"/>
      <c r="B62" s="73"/>
      <c r="C62" s="74"/>
      <c r="D62" s="82"/>
    </row>
    <row r="63" spans="1:4">
      <c r="A63" s="76"/>
      <c r="B63" s="73"/>
      <c r="C63" s="74"/>
      <c r="D63" s="82"/>
    </row>
    <row r="64" spans="1:4">
      <c r="A64" s="76"/>
      <c r="B64" s="73"/>
      <c r="C64" s="74"/>
      <c r="D64" s="82"/>
    </row>
    <row r="65" spans="1:4">
      <c r="A65" s="76"/>
      <c r="B65" s="73"/>
      <c r="C65" s="74"/>
      <c r="D65" s="82"/>
    </row>
    <row r="66" spans="1:4">
      <c r="A66" s="76"/>
      <c r="B66" s="73"/>
      <c r="C66" s="74"/>
      <c r="D66" s="82"/>
    </row>
    <row r="67" spans="1:4">
      <c r="A67" s="76"/>
      <c r="B67" s="73"/>
      <c r="C67" s="74"/>
      <c r="D67" s="82"/>
    </row>
    <row r="68" spans="1:4">
      <c r="A68" s="76"/>
      <c r="B68" s="73"/>
      <c r="C68" s="74"/>
      <c r="D68" s="82"/>
    </row>
    <row r="69" spans="1:4">
      <c r="A69" s="76"/>
      <c r="B69" s="73"/>
      <c r="C69" s="74"/>
      <c r="D69" s="82"/>
    </row>
    <row r="70" spans="1:4">
      <c r="A70" s="76"/>
      <c r="B70" s="73"/>
      <c r="C70" s="74"/>
      <c r="D70" s="82"/>
    </row>
    <row r="71" spans="1:4">
      <c r="A71" s="76"/>
      <c r="B71" s="73"/>
      <c r="C71" s="74"/>
      <c r="D71" s="82"/>
    </row>
    <row r="72" spans="1:4">
      <c r="A72" s="76"/>
      <c r="B72" s="73"/>
      <c r="C72" s="74"/>
      <c r="D72" s="82"/>
    </row>
    <row r="73" spans="1:4">
      <c r="A73" s="76"/>
      <c r="B73" s="73"/>
      <c r="C73" s="74"/>
      <c r="D73" s="82"/>
    </row>
    <row r="74" spans="1:4">
      <c r="A74" s="76"/>
      <c r="B74" s="73"/>
      <c r="C74" s="74"/>
      <c r="D74" s="82"/>
    </row>
    <row r="75" spans="1:4">
      <c r="A75" s="76"/>
      <c r="B75" s="73"/>
      <c r="C75" s="74"/>
      <c r="D75" s="82"/>
    </row>
    <row r="76" spans="1:4">
      <c r="A76" s="76"/>
      <c r="B76" s="73"/>
      <c r="C76" s="74"/>
      <c r="D76" s="82"/>
    </row>
    <row r="77" spans="1:4">
      <c r="A77" s="78"/>
      <c r="B77" s="74"/>
      <c r="C77" s="73"/>
      <c r="D77" s="82"/>
    </row>
    <row r="78" spans="1:4">
      <c r="A78" s="76"/>
      <c r="B78" s="74"/>
      <c r="C78" s="73"/>
    </row>
  </sheetData>
  <sortState xmlns:xlrd2="http://schemas.microsoft.com/office/spreadsheetml/2017/richdata2" ref="A45:C76">
    <sortCondition descending="1" ref="C45:C76"/>
  </sortState>
  <mergeCells count="4">
    <mergeCell ref="D1:E1"/>
    <mergeCell ref="A1:B1"/>
    <mergeCell ref="A8:I8"/>
    <mergeCell ref="A7:C7"/>
  </mergeCells>
  <conditionalFormatting sqref="C10:C41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{C0948B4C-7D93-4EE5-91FE-447D6C88D315}</x14:id>
        </ext>
      </extLst>
    </cfRule>
  </conditionalFormatting>
  <conditionalFormatting sqref="D10:D41">
    <cfRule type="colorScale" priority="8">
      <colorScale>
        <cfvo type="min"/>
        <cfvo type="max"/>
        <color rgb="FFFCFCFF"/>
        <color rgb="FF63BE7B"/>
      </colorScale>
    </cfRule>
  </conditionalFormatting>
  <conditionalFormatting sqref="E10:E41">
    <cfRule type="cellIs" dxfId="21" priority="7" operator="greaterThan">
      <formula>3</formula>
    </cfRule>
  </conditionalFormatting>
  <conditionalFormatting sqref="F10:F41">
    <cfRule type="cellIs" dxfId="20" priority="6" operator="equal">
      <formula>"Да"</formula>
    </cfRule>
  </conditionalFormatting>
  <conditionalFormatting sqref="F10:F41">
    <cfRule type="cellIs" dxfId="19" priority="5" operator="equal">
      <formula>"Нет"</formula>
    </cfRule>
  </conditionalFormatting>
  <conditionalFormatting sqref="H10:H41">
    <cfRule type="cellIs" dxfId="18" priority="4" operator="greaterThan">
      <formula>0</formula>
    </cfRule>
  </conditionalFormatting>
  <conditionalFormatting sqref="B77:B7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{A3F2BD0B-9254-4D10-AC80-BD1B2775B188}</x14:id>
        </ext>
      </extLst>
    </cfRule>
  </conditionalFormatting>
  <conditionalFormatting sqref="C77:C78">
    <cfRule type="colorScale" priority="2">
      <colorScale>
        <cfvo type="min"/>
        <cfvo type="max"/>
        <color rgb="FFFCFCFF"/>
        <color rgb="FF63BE7B"/>
      </colorScale>
    </cfRule>
  </conditionalFormatting>
  <conditionalFormatting sqref="C45:C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{CD3F693B-7EDB-4622-B114-D83CB20C6ABC}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948B4C-7D93-4EE5-91FE-447D6C88D3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C10:C41</xm:sqref>
        </x14:conditionalFormatting>
        <x14:conditionalFormatting xmlns:xm="http://schemas.microsoft.com/office/excel/2006/main">
          <x14:cfRule type="dataBar" id="{A3F2BD0B-9254-4D10-AC80-BD1B2775B1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B77:B78</xm:sqref>
        </x14:conditionalFormatting>
        <x14:conditionalFormatting xmlns:xm="http://schemas.microsoft.com/office/excel/2006/main">
          <x14:cfRule type="dataBar" id="{CD3F693B-7EDB-4622-B114-D83CB20C6A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C45:C76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D115-75E8-4D3B-ACF9-ABB5E34DADE8}">
  <dimension ref="A2:K67"/>
  <sheetViews>
    <sheetView workbookViewId="0">
      <selection activeCell="P45" sqref="P45"/>
    </sheetView>
  </sheetViews>
  <sheetFormatPr defaultRowHeight="15"/>
  <cols>
    <col min="1" max="8" width="15.85546875" customWidth="1"/>
    <col min="9" max="9" width="18.42578125" customWidth="1"/>
    <col min="10" max="11" width="15.85546875" customWidth="1"/>
    <col min="12" max="13" width="13.5703125" bestFit="1" customWidth="1"/>
    <col min="14" max="14" width="13.85546875" bestFit="1" customWidth="1"/>
    <col min="15" max="15" width="16.28515625" bestFit="1" customWidth="1"/>
    <col min="16" max="18" width="13.5703125" bestFit="1" customWidth="1"/>
    <col min="19" max="19" width="13.85546875" bestFit="1" customWidth="1"/>
    <col min="20" max="20" width="14" bestFit="1" customWidth="1"/>
    <col min="21" max="21" width="15.85546875" bestFit="1" customWidth="1"/>
    <col min="22" max="23" width="13.5703125" bestFit="1" customWidth="1"/>
    <col min="24" max="24" width="14.7109375" bestFit="1" customWidth="1"/>
    <col min="25" max="25" width="13.85546875" bestFit="1" customWidth="1"/>
    <col min="26" max="26" width="17" bestFit="1" customWidth="1"/>
    <col min="27" max="27" width="16" bestFit="1" customWidth="1"/>
    <col min="28" max="28" width="13.7109375" bestFit="1" customWidth="1"/>
    <col min="29" max="30" width="13.5703125" bestFit="1" customWidth="1"/>
    <col min="31" max="31" width="15" bestFit="1" customWidth="1"/>
    <col min="32" max="33" width="14.42578125" bestFit="1" customWidth="1"/>
    <col min="34" max="34" width="15.140625" bestFit="1" customWidth="1"/>
  </cols>
  <sheetData>
    <row r="2" spans="1:11" ht="22.5" customHeight="1">
      <c r="A2" s="1"/>
      <c r="B2" s="1"/>
      <c r="C2" s="1"/>
      <c r="D2" s="1"/>
      <c r="E2" s="1"/>
      <c r="F2" s="101" t="s">
        <v>62</v>
      </c>
      <c r="G2" s="101"/>
      <c r="H2" s="101"/>
      <c r="I2" s="101"/>
    </row>
    <row r="3" spans="1:11" ht="21" customHeight="1">
      <c r="A3" s="92" t="s">
        <v>0</v>
      </c>
      <c r="B3" s="7" t="s">
        <v>63</v>
      </c>
      <c r="C3" s="7" t="s">
        <v>64</v>
      </c>
      <c r="D3" s="7" t="s">
        <v>65</v>
      </c>
      <c r="E3" s="1"/>
      <c r="F3" s="97" t="s">
        <v>0</v>
      </c>
      <c r="G3" s="97" t="s">
        <v>66</v>
      </c>
      <c r="H3" s="97" t="s">
        <v>67</v>
      </c>
      <c r="I3" s="98" t="s">
        <v>68</v>
      </c>
    </row>
    <row r="4" spans="1:11">
      <c r="A4" s="93" t="s">
        <v>31</v>
      </c>
      <c r="B4" s="94">
        <v>2150410</v>
      </c>
      <c r="C4" s="95">
        <v>76861.430000000008</v>
      </c>
      <c r="D4" s="95">
        <v>9</v>
      </c>
      <c r="E4" s="1"/>
      <c r="F4" s="93" t="s">
        <v>31</v>
      </c>
      <c r="G4" s="93">
        <f>COUNTIFS(KPI_и_Оценка!$A$10:$A$41,A4,KPI_и_Оценка!$F$10:$F$41,"Да")</f>
        <v>3</v>
      </c>
      <c r="H4" s="93">
        <f>COUNTIFS(KPI_и_Оценка!$A$10:$A$41,A4,KPI_и_Оценка!$F$10:$F$41,"Нет")</f>
        <v>6</v>
      </c>
      <c r="I4" s="96">
        <f>G4/D4</f>
        <v>0.33333333333333331</v>
      </c>
    </row>
    <row r="5" spans="1:11">
      <c r="A5" s="93" t="s">
        <v>23</v>
      </c>
      <c r="B5" s="94">
        <v>1966010</v>
      </c>
      <c r="C5" s="95">
        <v>86083.200000000012</v>
      </c>
      <c r="D5" s="95">
        <v>7</v>
      </c>
      <c r="E5" s="1"/>
      <c r="F5" s="93" t="s">
        <v>23</v>
      </c>
      <c r="G5" s="93">
        <f>COUNTIFS(KPI_и_Оценка!$A$10:$A$41,A5,KPI_и_Оценка!$F$10:$F$41,"Да")</f>
        <v>4</v>
      </c>
      <c r="H5" s="93">
        <f>COUNTIFS(KPI_и_Оценка!$A$10:$A$41,A5,KPI_и_Оценка!$F$10:$F$41,"Нет")</f>
        <v>3</v>
      </c>
      <c r="I5" s="96">
        <f t="shared" ref="I5:I6" si="0">G5/D5</f>
        <v>0.5714285714285714</v>
      </c>
    </row>
    <row r="6" spans="1:11">
      <c r="A6" s="93" t="s">
        <v>61</v>
      </c>
      <c r="B6" s="94">
        <v>3140615</v>
      </c>
      <c r="C6" s="95">
        <v>95142.35</v>
      </c>
      <c r="D6" s="95">
        <v>16</v>
      </c>
      <c r="E6" s="1"/>
      <c r="F6" s="93" t="s">
        <v>5</v>
      </c>
      <c r="G6" s="93">
        <f>COUNTIFS(KPI_и_Оценка!$A$10:$A$41,A6,KPI_и_Оценка!$F$10:$F$41,"Да")</f>
        <v>3</v>
      </c>
      <c r="H6" s="93">
        <f>COUNTIFS(KPI_и_Оценка!$A$10:$A$41,A6,KPI_и_Оценка!$F$10:$F$41,"Нет")</f>
        <v>13</v>
      </c>
      <c r="I6" s="96">
        <f t="shared" si="0"/>
        <v>0.1875</v>
      </c>
    </row>
    <row r="7" spans="1:11">
      <c r="A7" s="93" t="s">
        <v>69</v>
      </c>
      <c r="B7" s="94">
        <v>7257035</v>
      </c>
      <c r="C7" s="95">
        <v>258086.98</v>
      </c>
      <c r="D7" s="95">
        <v>32</v>
      </c>
      <c r="E7" s="1"/>
      <c r="F7" s="93"/>
      <c r="G7" s="99">
        <f>SUM(G4:G6)</f>
        <v>10</v>
      </c>
      <c r="H7" s="99"/>
      <c r="I7" s="100">
        <f>G7/D7</f>
        <v>0.3125</v>
      </c>
    </row>
    <row r="8" spans="1:11" ht="30.75" customHeight="1">
      <c r="A8" s="1"/>
      <c r="B8" s="1"/>
      <c r="C8" s="1"/>
      <c r="D8" s="1"/>
    </row>
    <row r="9" spans="1:11" ht="15" customHeight="1">
      <c r="A9" s="88" t="s">
        <v>70</v>
      </c>
      <c r="B9" s="1"/>
      <c r="C9" s="1"/>
      <c r="D9" s="1"/>
      <c r="K9" s="83"/>
    </row>
    <row r="10" spans="1:11">
      <c r="A10" s="89" t="s">
        <v>1</v>
      </c>
      <c r="B10" s="89" t="s">
        <v>2</v>
      </c>
      <c r="C10" s="89" t="s">
        <v>0</v>
      </c>
      <c r="D10" s="89" t="s">
        <v>71</v>
      </c>
      <c r="F10" s="86"/>
      <c r="G10" s="87"/>
      <c r="H10" s="91"/>
    </row>
    <row r="11" spans="1:11">
      <c r="A11" s="1" t="s">
        <v>25</v>
      </c>
      <c r="B11" s="90">
        <v>394150</v>
      </c>
      <c r="C11" s="1" t="s">
        <v>23</v>
      </c>
      <c r="D11" s="90">
        <v>300000</v>
      </c>
      <c r="F11" s="76"/>
      <c r="G11" s="73"/>
      <c r="H11" s="74"/>
    </row>
    <row r="12" spans="1:11">
      <c r="A12" s="1" t="s">
        <v>19</v>
      </c>
      <c r="B12" s="90">
        <v>380585</v>
      </c>
      <c r="C12" s="1" t="s">
        <v>61</v>
      </c>
      <c r="D12" s="90">
        <v>300000</v>
      </c>
      <c r="F12" s="76"/>
      <c r="G12" s="73"/>
      <c r="H12" s="74"/>
    </row>
    <row r="13" spans="1:11">
      <c r="A13" s="1" t="s">
        <v>30</v>
      </c>
      <c r="B13" s="90">
        <v>379470</v>
      </c>
      <c r="C13" s="1" t="s">
        <v>23</v>
      </c>
      <c r="D13" s="90">
        <v>300000</v>
      </c>
      <c r="F13" s="76"/>
      <c r="G13" s="73"/>
      <c r="H13" s="74"/>
    </row>
    <row r="14" spans="1:11">
      <c r="A14" s="1" t="s">
        <v>36</v>
      </c>
      <c r="B14" s="90">
        <v>378880</v>
      </c>
      <c r="C14" s="1" t="s">
        <v>31</v>
      </c>
      <c r="D14" s="90">
        <v>300000</v>
      </c>
      <c r="E14" s="84"/>
      <c r="F14" s="76"/>
      <c r="G14" s="73"/>
      <c r="H14" s="74"/>
    </row>
    <row r="15" spans="1:11">
      <c r="A15" s="1" t="s">
        <v>14</v>
      </c>
      <c r="B15" s="90">
        <v>373865</v>
      </c>
      <c r="C15" s="1" t="s">
        <v>61</v>
      </c>
      <c r="D15" s="90">
        <v>300000</v>
      </c>
      <c r="E15" s="84"/>
      <c r="F15" s="76"/>
      <c r="G15" s="73"/>
      <c r="H15" s="74"/>
    </row>
    <row r="16" spans="1:11">
      <c r="A16" s="1" t="s">
        <v>37</v>
      </c>
      <c r="B16" s="90">
        <v>364200</v>
      </c>
      <c r="C16" s="1" t="s">
        <v>31</v>
      </c>
      <c r="D16" s="90">
        <v>300000</v>
      </c>
      <c r="E16" s="84"/>
      <c r="F16" s="76"/>
      <c r="G16" s="73"/>
      <c r="H16" s="74"/>
    </row>
    <row r="17" spans="1:8">
      <c r="A17" s="1" t="s">
        <v>29</v>
      </c>
      <c r="B17" s="90">
        <v>355580</v>
      </c>
      <c r="C17" s="1" t="s">
        <v>23</v>
      </c>
      <c r="D17" s="90">
        <v>300000</v>
      </c>
      <c r="E17" s="84"/>
      <c r="F17" s="76"/>
      <c r="G17" s="73"/>
      <c r="H17" s="74"/>
    </row>
    <row r="18" spans="1:8">
      <c r="A18" s="1" t="s">
        <v>15</v>
      </c>
      <c r="B18" s="90">
        <v>343360</v>
      </c>
      <c r="C18" s="1" t="s">
        <v>61</v>
      </c>
      <c r="D18" s="90">
        <v>300000</v>
      </c>
      <c r="E18" s="84"/>
      <c r="F18" s="76"/>
      <c r="G18" s="73"/>
      <c r="H18" s="74"/>
    </row>
    <row r="19" spans="1:8">
      <c r="A19" s="1" t="s">
        <v>24</v>
      </c>
      <c r="B19" s="90">
        <v>302080</v>
      </c>
      <c r="C19" s="1" t="s">
        <v>23</v>
      </c>
      <c r="D19" s="90">
        <v>300000</v>
      </c>
      <c r="E19" s="84"/>
      <c r="F19" s="78"/>
      <c r="G19" s="73"/>
      <c r="H19" s="74"/>
    </row>
    <row r="20" spans="1:8">
      <c r="A20" s="1" t="s">
        <v>34</v>
      </c>
      <c r="B20" s="90">
        <v>300895</v>
      </c>
      <c r="C20" s="1" t="s">
        <v>31</v>
      </c>
      <c r="D20" s="90">
        <v>300000</v>
      </c>
      <c r="E20" s="84"/>
      <c r="F20" s="86"/>
      <c r="G20" s="87"/>
      <c r="H20" s="91"/>
    </row>
    <row r="21" spans="1:8">
      <c r="A21" s="84"/>
      <c r="B21" s="84"/>
      <c r="C21" s="85"/>
      <c r="D21" s="84"/>
      <c r="E21" s="84"/>
      <c r="F21" s="86"/>
      <c r="G21" s="87"/>
      <c r="H21" s="91"/>
    </row>
    <row r="22" spans="1:8">
      <c r="A22" s="84"/>
      <c r="B22" s="84"/>
      <c r="C22" s="85"/>
      <c r="D22" s="84"/>
      <c r="E22" s="84"/>
      <c r="F22" s="86"/>
      <c r="G22" s="87"/>
      <c r="H22" s="49"/>
    </row>
    <row r="23" spans="1:8">
      <c r="A23" s="84"/>
      <c r="B23" s="84"/>
      <c r="C23" s="85"/>
      <c r="D23" s="84"/>
      <c r="E23" s="84"/>
      <c r="F23" s="86"/>
      <c r="G23" s="87"/>
      <c r="H23" s="49"/>
    </row>
    <row r="24" spans="1:8">
      <c r="A24" s="84"/>
      <c r="B24" s="84"/>
      <c r="C24" s="85"/>
      <c r="D24" s="84"/>
      <c r="E24" s="84"/>
      <c r="F24" s="86"/>
      <c r="G24" s="87"/>
      <c r="H24" s="49"/>
    </row>
    <row r="25" spans="1:8">
      <c r="A25" s="84"/>
      <c r="B25" s="84"/>
      <c r="C25" s="85"/>
      <c r="D25" s="84"/>
      <c r="E25" s="84"/>
      <c r="F25" s="86"/>
      <c r="G25" s="87"/>
      <c r="H25" s="49"/>
    </row>
    <row r="26" spans="1:8">
      <c r="A26" s="84"/>
      <c r="B26" s="84"/>
      <c r="C26" s="85"/>
      <c r="D26" s="84"/>
      <c r="E26" s="84"/>
      <c r="F26" s="86"/>
      <c r="G26" s="87"/>
      <c r="H26" s="49"/>
    </row>
    <row r="27" spans="1:8">
      <c r="A27" s="84"/>
      <c r="B27" s="84"/>
      <c r="C27" s="85"/>
      <c r="D27" s="84"/>
      <c r="E27" s="84"/>
      <c r="F27" s="86"/>
      <c r="G27" s="87"/>
      <c r="H27" s="49"/>
    </row>
    <row r="28" spans="1:8">
      <c r="A28" s="84"/>
      <c r="B28" s="84"/>
      <c r="C28" s="85"/>
      <c r="D28" s="84"/>
      <c r="E28" s="84"/>
      <c r="F28" s="86"/>
      <c r="G28" s="87"/>
      <c r="H28" s="49"/>
    </row>
    <row r="29" spans="1:8">
      <c r="A29" s="84"/>
      <c r="B29" s="84"/>
      <c r="C29" s="85"/>
      <c r="D29" s="84"/>
      <c r="E29" s="84"/>
      <c r="F29" s="86"/>
      <c r="G29" s="87"/>
      <c r="H29" s="49"/>
    </row>
    <row r="30" spans="1:8">
      <c r="A30" s="84"/>
      <c r="B30" s="84"/>
      <c r="C30" s="85"/>
      <c r="D30" s="84"/>
      <c r="E30" s="84"/>
      <c r="F30" s="86"/>
      <c r="G30" s="87"/>
      <c r="H30" s="49"/>
    </row>
    <row r="31" spans="1:8">
      <c r="A31" s="84"/>
      <c r="B31" s="84"/>
      <c r="C31" s="85"/>
      <c r="D31" s="84"/>
      <c r="E31" s="84"/>
      <c r="F31" s="86"/>
      <c r="G31" s="87"/>
      <c r="H31" s="49"/>
    </row>
    <row r="32" spans="1:8">
      <c r="A32" s="84"/>
      <c r="B32" s="84"/>
      <c r="C32" s="85"/>
      <c r="D32" s="84"/>
      <c r="E32" s="84"/>
      <c r="F32" s="86"/>
      <c r="G32" s="87"/>
      <c r="H32" s="49"/>
    </row>
    <row r="33" spans="1:8">
      <c r="A33" s="84"/>
      <c r="B33" s="84"/>
      <c r="C33" s="85"/>
      <c r="D33" s="84"/>
      <c r="E33" s="84"/>
      <c r="F33" s="86"/>
      <c r="G33" s="87"/>
      <c r="H33" s="49"/>
    </row>
    <row r="34" spans="1:8">
      <c r="A34" s="84"/>
      <c r="B34" s="84"/>
      <c r="C34" s="85"/>
      <c r="D34" s="84"/>
      <c r="E34" s="84"/>
      <c r="F34" s="86"/>
      <c r="G34" s="87"/>
      <c r="H34" s="49"/>
    </row>
    <row r="35" spans="1:8">
      <c r="A35" s="84"/>
      <c r="B35" s="84"/>
      <c r="C35" s="85"/>
      <c r="D35" s="84"/>
      <c r="E35" s="84"/>
      <c r="F35" s="86"/>
      <c r="G35" s="87"/>
      <c r="H35" s="49"/>
    </row>
    <row r="36" spans="1:8">
      <c r="A36" s="84"/>
      <c r="B36" s="84"/>
      <c r="C36" s="85"/>
      <c r="D36" s="84"/>
      <c r="E36" s="84"/>
      <c r="F36" s="86"/>
      <c r="G36" s="87"/>
      <c r="H36" s="49"/>
    </row>
    <row r="37" spans="1:8">
      <c r="A37" s="84"/>
      <c r="B37" s="84"/>
      <c r="C37" s="85"/>
      <c r="D37" s="84"/>
      <c r="E37" s="84"/>
      <c r="F37" s="86"/>
      <c r="G37" s="87"/>
      <c r="H37" s="49"/>
    </row>
    <row r="38" spans="1:8">
      <c r="A38" s="89" t="s">
        <v>72</v>
      </c>
      <c r="B38" s="1"/>
      <c r="C38" s="85"/>
      <c r="D38" s="84"/>
      <c r="E38" s="84"/>
      <c r="F38" s="86"/>
      <c r="G38" s="87"/>
      <c r="H38" s="49"/>
    </row>
    <row r="39" spans="1:8" ht="30">
      <c r="A39" s="48" t="s">
        <v>73</v>
      </c>
      <c r="B39" s="1">
        <f>COUNTIF(KPI_и_Оценка!$F$10:$F$41,"Да")</f>
        <v>10</v>
      </c>
      <c r="C39" s="85"/>
      <c r="D39" s="84"/>
      <c r="E39" s="84"/>
      <c r="F39" s="86"/>
      <c r="G39" s="87"/>
      <c r="H39" s="49"/>
    </row>
    <row r="40" spans="1:8">
      <c r="A40" s="1" t="s">
        <v>74</v>
      </c>
      <c r="B40" s="1">
        <f>COUNTIF(KPI_и_Оценка!$F$10:$F$41,"Нет")</f>
        <v>22</v>
      </c>
      <c r="C40" s="85"/>
      <c r="D40" s="84"/>
      <c r="E40" s="84"/>
      <c r="F40" s="86"/>
      <c r="G40" s="87"/>
      <c r="H40" s="49"/>
    </row>
    <row r="41" spans="1:8">
      <c r="A41" s="84"/>
      <c r="B41" s="84"/>
      <c r="C41" s="85"/>
      <c r="D41" s="84"/>
      <c r="E41" s="84"/>
      <c r="F41" s="86"/>
      <c r="G41" s="87"/>
      <c r="H41" s="49"/>
    </row>
    <row r="42" spans="1:8">
      <c r="A42" s="82"/>
      <c r="B42" s="82"/>
      <c r="C42" s="73"/>
      <c r="D42" s="82"/>
      <c r="E42" s="82"/>
      <c r="F42" s="82"/>
    </row>
    <row r="43" spans="1:8">
      <c r="A43" s="76"/>
      <c r="B43" s="74"/>
      <c r="C43" s="73"/>
      <c r="D43" s="82"/>
      <c r="E43" s="82"/>
      <c r="F43" s="82"/>
    </row>
    <row r="57" spans="1:2">
      <c r="A57" s="73"/>
      <c r="B57" s="74"/>
    </row>
    <row r="58" spans="1:2">
      <c r="A58" s="73"/>
      <c r="B58" s="74"/>
    </row>
    <row r="59" spans="1:2">
      <c r="A59" s="73"/>
      <c r="B59" s="74"/>
    </row>
    <row r="60" spans="1:2">
      <c r="A60" s="73"/>
      <c r="B60" s="74"/>
    </row>
    <row r="61" spans="1:2">
      <c r="A61" s="73"/>
      <c r="B61" s="74"/>
    </row>
    <row r="62" spans="1:2">
      <c r="A62" s="73"/>
      <c r="B62" s="74"/>
    </row>
    <row r="63" spans="1:2">
      <c r="A63" s="73"/>
      <c r="B63" s="74"/>
    </row>
    <row r="64" spans="1:2">
      <c r="A64" s="73"/>
      <c r="B64" s="74"/>
    </row>
    <row r="65" spans="1:2">
      <c r="A65" s="73"/>
      <c r="B65" s="74"/>
    </row>
    <row r="66" spans="1:2">
      <c r="A66" s="73"/>
      <c r="B66" s="74"/>
    </row>
    <row r="67" spans="1:2">
      <c r="A67" s="73"/>
      <c r="B67" s="74"/>
    </row>
  </sheetData>
  <mergeCells count="1">
    <mergeCell ref="F2:I2"/>
  </mergeCells>
  <conditionalFormatting sqref="B21:B38 B10 B4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{C22F0D2B-D17F-49D3-9344-0B0CDE91F6DC}</x14:id>
        </ext>
      </extLst>
    </cfRule>
  </conditionalFormatting>
  <conditionalFormatting sqref="C10:C41">
    <cfRule type="colorScale" priority="2">
      <colorScale>
        <cfvo type="min"/>
        <cfvo type="max"/>
        <color rgb="FFFCFCFF"/>
        <color rgb="FF63BE7B"/>
      </colorScale>
    </cfRule>
  </conditionalFormatting>
  <conditionalFormatting sqref="H11:H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{23D10857-F50E-4704-9AAC-382E9F105A9C}</x14:id>
        </ext>
      </extLst>
    </cfRule>
  </conditionalFormatting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2F0D2B-D17F-49D3-9344-0B0CDE91F6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B21:B38 B10 B41</xm:sqref>
        </x14:conditionalFormatting>
        <x14:conditionalFormatting xmlns:xm="http://schemas.microsoft.com/office/excel/2006/main">
          <x14:cfRule type="dataBar" id="{23D10857-F50E-4704-9AAC-382E9F105A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H11:H19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2026-08-03T12:44:41Z</dcterms:created>
  <dcterms:modified xsi:type="dcterms:W3CDTF">2026-08-23T09:06:49Z</dcterms:modified>
  <cp:category/>
  <cp:contentStatus/>
</cp:coreProperties>
</file>